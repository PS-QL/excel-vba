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12" yWindow="-12" windowWidth="14928" windowHeight="7776" activeTab="3"/>
  </bookViews>
  <sheets>
    <sheet name="Info" sheetId="10" r:id="rId1"/>
    <sheet name="CF &amp; PVs" sheetId="8" r:id="rId2"/>
    <sheet name="MarketData" sheetId="9" r:id="rId3"/>
    <sheet name="Simulation developed by Pankaj" sheetId="7" r:id="rId4"/>
  </sheets>
  <functionGroups builtInGroupCount="17"/>
  <definedNames>
    <definedName name="_xlnm._FilterDatabase" localSheetId="1" hidden="1">'CF &amp; PVs'!$A$8:$H$306</definedName>
  </definedNames>
  <calcPr calcId="145621"/>
</workbook>
</file>

<file path=xl/calcChain.xml><?xml version="1.0" encoding="utf-8"?>
<calcChain xmlns="http://schemas.openxmlformats.org/spreadsheetml/2006/main">
  <c r="U19" i="7" l="1"/>
  <c r="U18" i="7"/>
  <c r="U17" i="7"/>
  <c r="U16" i="7"/>
  <c r="U15" i="7"/>
  <c r="U14" i="7"/>
  <c r="U13" i="7"/>
  <c r="U12" i="7"/>
  <c r="U11" i="7"/>
  <c r="U10" i="7"/>
  <c r="U9" i="7"/>
  <c r="U8" i="7"/>
  <c r="F7" i="7"/>
  <c r="F10" i="7"/>
  <c r="F21" i="7"/>
  <c r="F19" i="7"/>
  <c r="F12" i="7"/>
  <c r="F15" i="7"/>
  <c r="F14" i="7"/>
  <c r="F20" i="7"/>
  <c r="F18" i="7"/>
  <c r="F17" i="7"/>
  <c r="F11" i="7"/>
  <c r="F16" i="7"/>
  <c r="F13" i="7"/>
  <c r="V57" i="7" l="1"/>
  <c r="X27" i="7" l="1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 s="1"/>
  <c r="X6" i="7" s="1"/>
  <c r="U7" i="7"/>
  <c r="E31" i="7"/>
  <c r="V32" i="7" s="1"/>
  <c r="E32" i="7"/>
  <c r="V33" i="7" s="1"/>
  <c r="E33" i="7"/>
  <c r="V34" i="7" s="1"/>
  <c r="E34" i="7"/>
  <c r="V35" i="7" s="1"/>
  <c r="V36" i="7" s="1"/>
  <c r="V37" i="7" s="1"/>
  <c r="V38" i="7" s="1"/>
  <c r="V39" i="7" s="1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F9" i="7"/>
  <c r="F8" i="7" l="1"/>
  <c r="U6" i="7"/>
  <c r="W32" i="7" l="1" a="1"/>
  <c r="F34" i="7"/>
  <c r="F33" i="7"/>
  <c r="E35" i="7" s="1"/>
  <c r="V58" i="7" s="1"/>
  <c r="F32" i="7"/>
  <c r="D32" i="7"/>
  <c r="D31" i="7"/>
  <c r="F31" i="7"/>
  <c r="W32" i="7" l="1"/>
  <c r="W54" i="7"/>
  <c r="W38" i="7"/>
  <c r="W47" i="7"/>
  <c r="W57" i="7"/>
  <c r="W41" i="7"/>
  <c r="W52" i="7"/>
  <c r="W36" i="7"/>
  <c r="W50" i="7"/>
  <c r="W34" i="7"/>
  <c r="W43" i="7"/>
  <c r="W53" i="7"/>
  <c r="W37" i="7"/>
  <c r="W48" i="7"/>
  <c r="W46" i="7"/>
  <c r="W55" i="7"/>
  <c r="W39" i="7"/>
  <c r="W33" i="7"/>
  <c r="W44" i="7"/>
  <c r="W49" i="7"/>
  <c r="W51" i="7"/>
  <c r="W35" i="7"/>
  <c r="W45" i="7"/>
  <c r="W56" i="7"/>
  <c r="W40" i="7"/>
  <c r="W42" i="7"/>
  <c r="D34" i="7"/>
  <c r="E9" i="8"/>
  <c r="E11" i="8"/>
  <c r="E12" i="8"/>
  <c r="E10" i="8"/>
  <c r="D11" i="8"/>
  <c r="D9" i="8"/>
  <c r="W58" i="7" l="1"/>
  <c r="D33" i="7"/>
  <c r="G10" i="7"/>
  <c r="G12" i="7"/>
  <c r="G17" i="7"/>
  <c r="G13" i="7"/>
  <c r="G9" i="7"/>
  <c r="G14" i="7"/>
  <c r="G21" i="7"/>
  <c r="G11" i="7"/>
  <c r="G20" i="7"/>
  <c r="G18" i="7"/>
  <c r="G15" i="7"/>
  <c r="G19" i="7"/>
  <c r="G16" i="7"/>
  <c r="D12" i="8"/>
  <c r="D10" i="8"/>
  <c r="G8" i="7" l="1"/>
  <c r="F12" i="8"/>
  <c r="F11" i="8" l="1"/>
  <c r="F10" i="8"/>
  <c r="G12" i="8" l="1"/>
  <c r="H12" i="8" s="1"/>
  <c r="G10" i="8"/>
  <c r="H10" i="8" s="1"/>
  <c r="F9" i="8"/>
  <c r="G11" i="8"/>
  <c r="H11" i="8" s="1"/>
  <c r="G9" i="8" l="1"/>
  <c r="H9" i="8" l="1"/>
  <c r="H4" i="8" s="1"/>
  <c r="E28" i="7" s="1"/>
</calcChain>
</file>

<file path=xl/sharedStrings.xml><?xml version="1.0" encoding="utf-8"?>
<sst xmlns="http://schemas.openxmlformats.org/spreadsheetml/2006/main" count="140" uniqueCount="70">
  <si>
    <t>Currency</t>
  </si>
  <si>
    <t>CashflowDate</t>
  </si>
  <si>
    <t>CF</t>
  </si>
  <si>
    <t>Yield</t>
  </si>
  <si>
    <t>DF</t>
  </si>
  <si>
    <t>MtM</t>
  </si>
  <si>
    <t>TtM</t>
  </si>
  <si>
    <t>Loss Amount</t>
  </si>
  <si>
    <t>Scenario No.</t>
  </si>
  <si>
    <t>Period</t>
  </si>
  <si>
    <t>FX Rate</t>
  </si>
  <si>
    <t>YIELDCURVE</t>
  </si>
  <si>
    <t>Short Name</t>
  </si>
  <si>
    <t>Name</t>
  </si>
  <si>
    <t>Days</t>
  </si>
  <si>
    <t>ON</t>
  </si>
  <si>
    <t>Overnight</t>
  </si>
  <si>
    <t>1W</t>
  </si>
  <si>
    <t>1 Week</t>
  </si>
  <si>
    <t>1M</t>
  </si>
  <si>
    <t>1 Month</t>
  </si>
  <si>
    <t>3M</t>
  </si>
  <si>
    <t>3 Months</t>
  </si>
  <si>
    <t>6M</t>
  </si>
  <si>
    <t>6 Months</t>
  </si>
  <si>
    <t>9M</t>
  </si>
  <si>
    <t>9 Months</t>
  </si>
  <si>
    <t>1Y</t>
  </si>
  <si>
    <t>1 Year</t>
  </si>
  <si>
    <t>2Y</t>
  </si>
  <si>
    <t>2 Years</t>
  </si>
  <si>
    <t>3Y</t>
  </si>
  <si>
    <t>3 years</t>
  </si>
  <si>
    <t>4Y</t>
  </si>
  <si>
    <t>4 Years</t>
  </si>
  <si>
    <t>5Y</t>
  </si>
  <si>
    <t>5 Years</t>
  </si>
  <si>
    <t>7Y</t>
  </si>
  <si>
    <t>7 years</t>
  </si>
  <si>
    <t>10Y</t>
  </si>
  <si>
    <t>10 Years</t>
  </si>
  <si>
    <t>Today</t>
  </si>
  <si>
    <t>Lowest</t>
  </si>
  <si>
    <t>Confidence</t>
  </si>
  <si>
    <t>Bin</t>
  </si>
  <si>
    <t>Frequency</t>
  </si>
  <si>
    <t>Scenario nos --&gt;&gt;&gt;</t>
  </si>
  <si>
    <t>Fcy</t>
  </si>
  <si>
    <t>Local</t>
  </si>
  <si>
    <t>MtM_Local</t>
  </si>
  <si>
    <t>MtM_Original_cur</t>
  </si>
  <si>
    <t>Scenario counts &gt;&gt;&gt;&gt;</t>
  </si>
  <si>
    <t>Fcy/Local</t>
  </si>
  <si>
    <t>NPV &gt;&gt;&gt;&gt;&gt;&gt;</t>
  </si>
  <si>
    <t>FX Spot Rate</t>
  </si>
  <si>
    <t>Report Date</t>
  </si>
  <si>
    <t>Today's Market Rate</t>
  </si>
  <si>
    <t>From Time Series Database</t>
  </si>
  <si>
    <t>Current Scenario no. &gt;&gt;&gt;&gt;&gt;&gt;</t>
  </si>
  <si>
    <t>HVaR &gt;&gt;&gt;&gt;&gt;</t>
  </si>
  <si>
    <t xml:space="preserve">MtM corresponding to </t>
  </si>
  <si>
    <t>current scenarrio &gt;&gt;&gt;</t>
  </si>
  <si>
    <t>Scenario no.</t>
  </si>
  <si>
    <t>PnL distribution</t>
  </si>
  <si>
    <t>Interest Yield Curve</t>
  </si>
  <si>
    <t>(b) PV camuptation using Valuation Engine</t>
  </si>
  <si>
    <t>(a) Sample FX Forward position fro Trade Data</t>
  </si>
  <si>
    <t>Not actual data - Just sample for computation purpose</t>
  </si>
  <si>
    <t>Click this button for running simulation</t>
  </si>
  <si>
    <t>Watch it. how does this change as the simulation runs.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</si>
</sst>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%"/>
    <numFmt numFmtId="165" formatCode="_-* #,##0.00_-;\-* #,##0.00_-;_-* &quot;-&quot;??_-;_-@_-"/>
    <numFmt numFmtId="166" formatCode="_-* #,##0_-;\-* #,##0_-;_-* &quot;-&quot;_-;_-@_-"/>
    <numFmt numFmtId="167" formatCode="_-&quot;£&quot;* #,##0.00_-;\-&quot;£&quot;* #,##0.00_-;_-&quot;£&quot;* &quot;-&quot;??_-;_-@_-"/>
    <numFmt numFmtId="168" formatCode="_-&quot;£&quot;* #,##0_-;\-&quot;£&quot;* #,##0_-;_-&quot;£&quot;* &quot;-&quot;_-;_-@_-"/>
    <numFmt numFmtId="169" formatCode="_-[$€]* #,##0.00_-;\-[$€]* #,##0.00_-;_-[$€]* &quot;-&quot;??_-;_-@_-"/>
    <numFmt numFmtId="170" formatCode="#,##0.00_ ;[Red]\-#,##0.00\ "/>
    <numFmt numFmtId="171" formatCode="#,##0.00000000"/>
    <numFmt numFmtId="172" formatCode="0.000"/>
    <numFmt numFmtId="173" formatCode="0.00000"/>
    <numFmt numFmtId="174" formatCode="0.00000000000%"/>
    <numFmt numFmtId="175" formatCode="0.0000000000000;[Red]0.0000000000000"/>
    <numFmt numFmtId="176" formatCode="#,##0_);[Red]\(#,##0\)"/>
    <numFmt numFmtId="177" formatCode="#,##0.00_);[Red]\(#,##0.00\)"/>
    <numFmt numFmtId="178" formatCode="#,##0_);\(#,##0\)"/>
    <numFmt numFmtId="179" formatCode="0.0000"/>
  </numFmts>
  <fonts count="62" x14ac:knownFonts="1">
    <font>
      <sz val="10"/>
      <name val="Arial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color indexed="12"/>
      <name val="Tahoma"/>
      <family val="2"/>
    </font>
    <font>
      <sz val="11"/>
      <name val="Times New Roman"/>
      <family val="1"/>
    </font>
    <font>
      <b/>
      <sz val="9"/>
      <color indexed="46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8"/>
      <name val="MS Sans Serif"/>
      <family val="2"/>
    </font>
    <font>
      <sz val="10"/>
      <color indexed="8"/>
      <name val="Times New Roman"/>
      <family val="2"/>
    </font>
    <font>
      <b/>
      <sz val="9"/>
      <color indexed="8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sz val="10"/>
      <color theme="1"/>
      <name val="Calibri"/>
      <family val="2"/>
      <scheme val="minor"/>
    </font>
    <font>
      <i/>
      <sz val="10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2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83">
    <xf numFmtId="0" fontId="0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164" fontId="28" fillId="20" borderId="0"/>
    <xf numFmtId="0" fontId="12" fillId="21" borderId="1" applyNumberFormat="0" applyAlignment="0" applyProtection="0"/>
    <xf numFmtId="0" fontId="13" fillId="22" borderId="2" applyNumberFormat="0" applyAlignment="0" applyProtection="0"/>
    <xf numFmtId="165" fontId="2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9" fontId="5" fillId="0" borderId="0" applyFont="0" applyFill="0" applyBorder="0" applyAlignment="0" applyProtection="0"/>
    <xf numFmtId="0" fontId="14" fillId="0" borderId="0" applyNumberFormat="0" applyFill="0" applyBorder="0" applyAlignment="0" applyProtection="0"/>
    <xf numFmtId="2" fontId="29" fillId="0" borderId="3">
      <alignment horizontal="center"/>
    </xf>
    <xf numFmtId="0" fontId="15" fillId="4" borderId="0" applyNumberFormat="0" applyBorder="0" applyAlignment="0" applyProtection="0"/>
    <xf numFmtId="0" fontId="5" fillId="21" borderId="0" applyNumberFormat="0" applyFont="0" applyBorder="0" applyAlignment="0" applyProtection="0"/>
    <xf numFmtId="0" fontId="30" fillId="23" borderId="4">
      <alignment horizontal="left"/>
    </xf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31" fillId="24" borderId="0"/>
    <xf numFmtId="0" fontId="20" fillId="0" borderId="8" applyNumberFormat="0" applyFill="0" applyAlignment="0" applyProtection="0"/>
    <xf numFmtId="0" fontId="32" fillId="25" borderId="9">
      <alignment vertical="center"/>
      <protection locked="0"/>
    </xf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7" fontId="26" fillId="0" borderId="0" applyFont="0" applyFill="0" applyBorder="0" applyAlignment="0" applyProtection="0"/>
    <xf numFmtId="0" fontId="33" fillId="0" borderId="0" applyNumberFormat="0" applyFont="0" applyBorder="0" applyProtection="0">
      <alignment horizontal="center"/>
    </xf>
    <xf numFmtId="0" fontId="21" fillId="26" borderId="0" applyNumberFormat="0" applyBorder="0" applyAlignment="0" applyProtection="0"/>
    <xf numFmtId="0" fontId="34" fillId="0" borderId="0"/>
    <xf numFmtId="0" fontId="26" fillId="0" borderId="0"/>
    <xf numFmtId="0" fontId="26" fillId="0" borderId="0"/>
    <xf numFmtId="0" fontId="34" fillId="0" borderId="0"/>
    <xf numFmtId="0" fontId="27" fillId="0" borderId="0"/>
    <xf numFmtId="0" fontId="9" fillId="0" borderId="0"/>
    <xf numFmtId="0" fontId="8" fillId="0" borderId="0"/>
    <xf numFmtId="0" fontId="9" fillId="27" borderId="10" applyNumberFormat="0" applyFont="0" applyAlignment="0" applyProtection="0"/>
    <xf numFmtId="0" fontId="22" fillId="21" borderId="9" applyNumberFormat="0" applyAlignment="0" applyProtection="0"/>
    <xf numFmtId="9" fontId="5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5" fillId="20" borderId="0"/>
    <xf numFmtId="0" fontId="36" fillId="2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7" fillId="20" borderId="0"/>
    <xf numFmtId="0" fontId="23" fillId="0" borderId="0" applyNumberFormat="0" applyFill="0" applyBorder="0" applyAlignment="0" applyProtection="0"/>
    <xf numFmtId="0" fontId="24" fillId="0" borderId="11" applyNumberFormat="0" applyFill="0" applyAlignment="0" applyProtection="0"/>
    <xf numFmtId="0" fontId="25" fillId="0" borderId="0" applyNumberFormat="0" applyFill="0" applyBorder="0" applyAlignment="0" applyProtection="0"/>
    <xf numFmtId="0" fontId="5" fillId="27" borderId="0" applyNumberFormat="0" applyFon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41" fillId="0" borderId="0"/>
    <xf numFmtId="0" fontId="1" fillId="0" borderId="0"/>
    <xf numFmtId="0" fontId="42" fillId="0" borderId="0" applyNumberFormat="0" applyFill="0" applyBorder="0" applyAlignment="0" applyProtection="0"/>
    <xf numFmtId="0" fontId="43" fillId="0" borderId="15" applyNumberFormat="0" applyFill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6" fillId="31" borderId="0" applyNumberFormat="0" applyBorder="0" applyAlignment="0" applyProtection="0"/>
    <xf numFmtId="0" fontId="47" fillId="32" borderId="0" applyNumberFormat="0" applyBorder="0" applyAlignment="0" applyProtection="0"/>
    <xf numFmtId="0" fontId="48" fillId="33" borderId="0" applyNumberFormat="0" applyBorder="0" applyAlignment="0" applyProtection="0"/>
    <xf numFmtId="0" fontId="49" fillId="34" borderId="18" applyNumberFormat="0" applyAlignment="0" applyProtection="0"/>
    <xf numFmtId="0" fontId="50" fillId="35" borderId="19" applyNumberFormat="0" applyAlignment="0" applyProtection="0"/>
    <xf numFmtId="0" fontId="51" fillId="35" borderId="18" applyNumberFormat="0" applyAlignment="0" applyProtection="0"/>
    <xf numFmtId="0" fontId="52" fillId="0" borderId="20" applyNumberFormat="0" applyFill="0" applyAlignment="0" applyProtection="0"/>
    <xf numFmtId="0" fontId="53" fillId="36" borderId="21" applyNumberFormat="0" applyAlignment="0" applyProtection="0"/>
    <xf numFmtId="0" fontId="54" fillId="0" borderId="0" applyNumberFormat="0" applyFill="0" applyBorder="0" applyAlignment="0" applyProtection="0"/>
    <xf numFmtId="0" fontId="1" fillId="37" borderId="22" applyNumberFormat="0" applyFont="0" applyAlignment="0" applyProtection="0"/>
    <xf numFmtId="0" fontId="55" fillId="0" borderId="0" applyNumberFormat="0" applyFill="0" applyBorder="0" applyAlignment="0" applyProtection="0"/>
    <xf numFmtId="0" fontId="40" fillId="0" borderId="23" applyNumberFormat="0" applyFill="0" applyAlignment="0" applyProtection="0"/>
    <xf numFmtId="0" fontId="56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56" fillId="41" borderId="0" applyNumberFormat="0" applyBorder="0" applyAlignment="0" applyProtection="0"/>
    <xf numFmtId="0" fontId="56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56" fillId="45" borderId="0" applyNumberFormat="0" applyBorder="0" applyAlignment="0" applyProtection="0"/>
    <xf numFmtId="0" fontId="56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56" fillId="49" borderId="0" applyNumberFormat="0" applyBorder="0" applyAlignment="0" applyProtection="0"/>
    <xf numFmtId="0" fontId="56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56" fillId="53" borderId="0" applyNumberFormat="0" applyBorder="0" applyAlignment="0" applyProtection="0"/>
    <xf numFmtId="0" fontId="56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56" fillId="57" borderId="0" applyNumberFormat="0" applyBorder="0" applyAlignment="0" applyProtection="0"/>
    <xf numFmtId="0" fontId="56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56" fillId="61" borderId="0" applyNumberFormat="0" applyBorder="0" applyAlignment="0" applyProtection="0"/>
  </cellStyleXfs>
  <cellXfs count="86">
    <xf numFmtId="0" fontId="0" fillId="0" borderId="0" xfId="0"/>
    <xf numFmtId="0" fontId="6" fillId="0" borderId="0" xfId="0" applyFont="1"/>
    <xf numFmtId="15" fontId="0" fillId="0" borderId="0" xfId="0" applyNumberFormat="1"/>
    <xf numFmtId="4" fontId="0" fillId="0" borderId="0" xfId="0" applyNumberFormat="1"/>
    <xf numFmtId="0" fontId="8" fillId="0" borderId="12" xfId="106" applyFont="1" applyFill="1" applyBorder="1" applyAlignment="1">
      <alignment horizontal="right" wrapText="1"/>
    </xf>
    <xf numFmtId="15" fontId="26" fillId="0" borderId="0" xfId="0" applyNumberFormat="1" applyFont="1"/>
    <xf numFmtId="10" fontId="0" fillId="0" borderId="0" xfId="109" applyNumberFormat="1" applyFont="1"/>
    <xf numFmtId="0" fontId="8" fillId="0" borderId="10" xfId="106" applyFont="1" applyFill="1" applyBorder="1" applyAlignment="1">
      <alignment wrapText="1"/>
    </xf>
    <xf numFmtId="15" fontId="8" fillId="0" borderId="10" xfId="106" applyNumberFormat="1" applyFont="1" applyFill="1" applyBorder="1" applyAlignment="1">
      <alignment horizontal="right" wrapText="1"/>
    </xf>
    <xf numFmtId="170" fontId="0" fillId="0" borderId="0" xfId="0" applyNumberFormat="1"/>
    <xf numFmtId="170" fontId="8" fillId="0" borderId="10" xfId="106" applyNumberFormat="1" applyFont="1" applyFill="1" applyBorder="1" applyAlignment="1">
      <alignment horizontal="right" wrapText="1"/>
    </xf>
    <xf numFmtId="0" fontId="26" fillId="0" borderId="0" xfId="0" applyFont="1"/>
    <xf numFmtId="0" fontId="38" fillId="0" borderId="0" xfId="124"/>
    <xf numFmtId="0" fontId="38" fillId="0" borderId="0" xfId="125"/>
    <xf numFmtId="0" fontId="38" fillId="0" borderId="0" xfId="126"/>
    <xf numFmtId="0" fontId="38" fillId="0" borderId="0" xfId="127"/>
    <xf numFmtId="0" fontId="38" fillId="0" borderId="0" xfId="133"/>
    <xf numFmtId="0" fontId="38" fillId="0" borderId="0" xfId="135"/>
    <xf numFmtId="0" fontId="5" fillId="0" borderId="0" xfId="0" applyFont="1"/>
    <xf numFmtId="0" fontId="4" fillId="0" borderId="0" xfId="123" applyFont="1"/>
    <xf numFmtId="0" fontId="4" fillId="0" borderId="0" xfId="136" applyFill="1"/>
    <xf numFmtId="15" fontId="4" fillId="0" borderId="0" xfId="136" applyNumberFormat="1" applyFill="1"/>
    <xf numFmtId="0" fontId="8" fillId="0" borderId="0" xfId="106"/>
    <xf numFmtId="0" fontId="0" fillId="0" borderId="0" xfId="0" applyNumberFormat="1"/>
    <xf numFmtId="172" fontId="0" fillId="0" borderId="0" xfId="0" applyNumberFormat="1"/>
    <xf numFmtId="0" fontId="8" fillId="28" borderId="0" xfId="106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13" xfId="0" applyFill="1" applyBorder="1" applyAlignment="1"/>
    <xf numFmtId="0" fontId="39" fillId="0" borderId="14" xfId="0" applyFont="1" applyFill="1" applyBorder="1" applyAlignment="1">
      <alignment horizontal="center"/>
    </xf>
    <xf numFmtId="0" fontId="0" fillId="0" borderId="0" xfId="0" applyAlignment="1">
      <alignment horizontal="left"/>
    </xf>
    <xf numFmtId="173" fontId="0" fillId="0" borderId="0" xfId="0" applyNumberFormat="1"/>
    <xf numFmtId="174" fontId="0" fillId="0" borderId="0" xfId="109" applyNumberFormat="1" applyFont="1"/>
    <xf numFmtId="175" fontId="0" fillId="0" borderId="0" xfId="0" applyNumberFormat="1"/>
    <xf numFmtId="0" fontId="38" fillId="0" borderId="0" xfId="128" applyFill="1"/>
    <xf numFmtId="0" fontId="38" fillId="0" borderId="0" xfId="130" applyFill="1"/>
    <xf numFmtId="0" fontId="0" fillId="0" borderId="0" xfId="0" applyFill="1"/>
    <xf numFmtId="0" fontId="38" fillId="0" borderId="0" xfId="132" applyFill="1"/>
    <xf numFmtId="0" fontId="38" fillId="0" borderId="0" xfId="134" applyFill="1"/>
    <xf numFmtId="0" fontId="5" fillId="0" borderId="0" xfId="0" applyFont="1" applyAlignment="1">
      <alignment horizontal="center"/>
    </xf>
    <xf numFmtId="4" fontId="6" fillId="0" borderId="0" xfId="0" applyNumberFormat="1" applyFont="1"/>
    <xf numFmtId="0" fontId="5" fillId="0" borderId="0" xfId="0" applyFont="1" applyFill="1"/>
    <xf numFmtId="171" fontId="0" fillId="0" borderId="0" xfId="0" applyNumberFormat="1" applyFill="1"/>
    <xf numFmtId="176" fontId="0" fillId="0" borderId="0" xfId="0" applyNumberFormat="1" applyFill="1" applyBorder="1" applyAlignment="1"/>
    <xf numFmtId="177" fontId="0" fillId="0" borderId="0" xfId="0" applyNumberFormat="1" applyFill="1" applyBorder="1" applyAlignment="1"/>
    <xf numFmtId="0" fontId="0" fillId="0" borderId="24" xfId="0" applyBorder="1"/>
    <xf numFmtId="0" fontId="5" fillId="0" borderId="24" xfId="0" applyFont="1" applyBorder="1"/>
    <xf numFmtId="0" fontId="8" fillId="0" borderId="24" xfId="106" applyBorder="1"/>
    <xf numFmtId="0" fontId="0" fillId="0" borderId="24" xfId="0" applyBorder="1" applyAlignment="1">
      <alignment horizontal="center"/>
    </xf>
    <xf numFmtId="0" fontId="58" fillId="28" borderId="24" xfId="106" applyFont="1" applyFill="1" applyBorder="1" applyAlignment="1">
      <alignment horizontal="center" vertical="center" wrapText="1"/>
    </xf>
    <xf numFmtId="0" fontId="0" fillId="62" borderId="25" xfId="0" applyFill="1" applyBorder="1"/>
    <xf numFmtId="176" fontId="0" fillId="0" borderId="24" xfId="0" applyNumberFormat="1" applyFill="1" applyBorder="1" applyAlignment="1"/>
    <xf numFmtId="0" fontId="0" fillId="0" borderId="28" xfId="0" applyBorder="1"/>
    <xf numFmtId="15" fontId="0" fillId="0" borderId="28" xfId="0" applyNumberFormat="1" applyBorder="1"/>
    <xf numFmtId="170" fontId="0" fillId="0" borderId="28" xfId="0" applyNumberFormat="1" applyBorder="1"/>
    <xf numFmtId="0" fontId="5" fillId="0" borderId="28" xfId="0" applyFont="1" applyBorder="1"/>
    <xf numFmtId="0" fontId="0" fillId="0" borderId="29" xfId="0" applyBorder="1"/>
    <xf numFmtId="15" fontId="0" fillId="0" borderId="29" xfId="0" applyNumberFormat="1" applyBorder="1"/>
    <xf numFmtId="170" fontId="0" fillId="0" borderId="29" xfId="0" applyNumberFormat="1" applyBorder="1"/>
    <xf numFmtId="174" fontId="0" fillId="0" borderId="28" xfId="109" applyNumberFormat="1" applyFont="1" applyBorder="1"/>
    <xf numFmtId="4" fontId="0" fillId="0" borderId="28" xfId="0" applyNumberFormat="1" applyBorder="1"/>
    <xf numFmtId="174" fontId="0" fillId="0" borderId="29" xfId="109" applyNumberFormat="1" applyFont="1" applyBorder="1"/>
    <xf numFmtId="4" fontId="0" fillId="0" borderId="29" xfId="0" applyNumberFormat="1" applyBorder="1"/>
    <xf numFmtId="0" fontId="6" fillId="0" borderId="24" xfId="0" applyFont="1" applyBorder="1" applyAlignment="1">
      <alignment horizontal="center" vertical="center"/>
    </xf>
    <xf numFmtId="0" fontId="6" fillId="29" borderId="24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76" fontId="0" fillId="0" borderId="28" xfId="0" applyNumberFormat="1" applyFill="1" applyBorder="1" applyAlignment="1"/>
    <xf numFmtId="176" fontId="0" fillId="0" borderId="29" xfId="0" applyNumberFormat="1" applyFill="1" applyBorder="1" applyAlignment="1"/>
    <xf numFmtId="0" fontId="0" fillId="0" borderId="28" xfId="0" applyBorder="1" applyAlignment="1">
      <alignment horizontal="center"/>
    </xf>
    <xf numFmtId="0" fontId="6" fillId="30" borderId="0" xfId="0" applyFont="1" applyFill="1"/>
    <xf numFmtId="0" fontId="0" fillId="30" borderId="0" xfId="0" applyFill="1"/>
    <xf numFmtId="178" fontId="0" fillId="0" borderId="0" xfId="0" applyNumberFormat="1"/>
    <xf numFmtId="178" fontId="5" fillId="0" borderId="0" xfId="0" applyNumberFormat="1" applyFont="1"/>
    <xf numFmtId="0" fontId="6" fillId="30" borderId="24" xfId="0" applyFont="1" applyFill="1" applyBorder="1" applyAlignment="1">
      <alignment horizontal="center" vertical="center"/>
    </xf>
    <xf numFmtId="0" fontId="58" fillId="28" borderId="26" xfId="106" applyFont="1" applyFill="1" applyBorder="1" applyAlignment="1">
      <alignment horizontal="center" vertical="center" wrapText="1"/>
    </xf>
    <xf numFmtId="0" fontId="58" fillId="28" borderId="30" xfId="106" applyFont="1" applyFill="1" applyBorder="1" applyAlignment="1">
      <alignment horizontal="center" vertical="center" wrapText="1"/>
    </xf>
    <xf numFmtId="0" fontId="58" fillId="28" borderId="25" xfId="106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63" borderId="27" xfId="0" applyFont="1" applyFill="1" applyBorder="1" applyAlignment="1">
      <alignment horizontal="center" vertical="center" textRotation="90"/>
    </xf>
    <xf numFmtId="0" fontId="6" fillId="63" borderId="28" xfId="0" applyFont="1" applyFill="1" applyBorder="1" applyAlignment="1">
      <alignment horizontal="center" vertical="center" textRotation="90"/>
    </xf>
    <xf numFmtId="0" fontId="6" fillId="63" borderId="29" xfId="0" applyFont="1" applyFill="1" applyBorder="1" applyAlignment="1">
      <alignment horizontal="center" vertical="center" textRotation="90"/>
    </xf>
    <xf numFmtId="0" fontId="60" fillId="62" borderId="26" xfId="0" applyFont="1" applyFill="1" applyBorder="1"/>
    <xf numFmtId="178" fontId="59" fillId="62" borderId="24" xfId="0" applyNumberFormat="1" applyFont="1" applyFill="1" applyBorder="1" applyAlignment="1"/>
    <xf numFmtId="0" fontId="6" fillId="0" borderId="24" xfId="0" applyFont="1" applyBorder="1"/>
    <xf numFmtId="179" fontId="6" fillId="0" borderId="24" xfId="0" applyNumberFormat="1" applyFont="1" applyBorder="1"/>
    <xf numFmtId="0" fontId="6" fillId="0" borderId="0" xfId="0" applyFont="1" applyAlignment="1">
      <alignment horizontal="left" indent="2"/>
    </xf>
    <xf numFmtId="0" fontId="61" fillId="0" borderId="0" xfId="0" applyFont="1"/>
  </cellXfs>
  <cellStyles count="183">
    <cellStyle name="_Amortization Final" xfId="1"/>
    <cellStyle name="_Amortization Final_NOP_CCy_Portfolio" xfId="2"/>
    <cellStyle name="_Amortization Final_NOP_CCy_Portfolio_1" xfId="3"/>
    <cellStyle name="_Attachments" xfId="4"/>
    <cellStyle name="_Attachments_NOP_CCy_Portfolio" xfId="5"/>
    <cellStyle name="_Attachments_NOP_CCy_Portfolio_1" xfId="6"/>
    <cellStyle name="_CG &amp; SG - HTM" xfId="7"/>
    <cellStyle name="_CG &amp; SG - HTM_NOP_CCy_Portfolio" xfId="8"/>
    <cellStyle name="_CG &amp; SG - HTM_NOP_CCy_Portfolio_1" xfId="9"/>
    <cellStyle name="_CG-HTM" xfId="10"/>
    <cellStyle name="_CG-HTM_NOP_CCy_Portfolio" xfId="11"/>
    <cellStyle name="_CG-HTM_NOP_CCy_Portfolio_1" xfId="12"/>
    <cellStyle name="_Copy of MTM_Report_20070930" xfId="13"/>
    <cellStyle name="_Copy of MTM_Report_20070930_NOP_CCy_Portfolio" xfId="14"/>
    <cellStyle name="_Copy of MTM_Report_20070930_NOP_CCy_Portfolio_1" xfId="15"/>
    <cellStyle name="_FIMMDA Rates" xfId="16"/>
    <cellStyle name="_FIMMDA Rates_NOP_CCy_Portfolio" xfId="17"/>
    <cellStyle name="_FIMMDA Rates_NOP_CCy_Portfolio_1" xfId="18"/>
    <cellStyle name="_H-T-3 (Investment Valuation-Sep 30, 2007)" xfId="19"/>
    <cellStyle name="_H-T-3 (Investment Valuation-Sep 30, 2007)_NOP_CCy_Portfolio" xfId="20"/>
    <cellStyle name="_H-T-3 (Investment Valuation-Sep 30, 2007)_NOP_CCy_Portfolio_1" xfId="21"/>
    <cellStyle name="_H-T-5(Non-SLR Valuation) March 2009" xfId="22"/>
    <cellStyle name="_H-T-5(Non-SLR Valuation) March 2009_NOP_CCy_Portfolio" xfId="23"/>
    <cellStyle name="_H-T-5(Non-SLR Valuation) March 2009_NOP_CCy_Portfolio_1" xfId="24"/>
    <cellStyle name="_H-T-6 (Interest Accrued on Investments)" xfId="25"/>
    <cellStyle name="_H-T-6 (Interest Accrued on Investments)_NOP_CCy_Portfolio" xfId="26"/>
    <cellStyle name="_H-T-6 (Interest Accrued on Investments)_NOP_CCy_Portfolio_1" xfId="27"/>
    <cellStyle name="_Interest Income - Non-SLR 31.12.2007 " xfId="28"/>
    <cellStyle name="_Interest Income - Non-SLR 31.12.2007 _NOP_CCy_Portfolio" xfId="29"/>
    <cellStyle name="_Interest Income - Non-SLR 31.12.2007 _NOP_CCy_Portfolio_1" xfId="30"/>
    <cellStyle name="_Interst Accrual - Recon Sept,2007" xfId="31"/>
    <cellStyle name="_Interst Accrual - Recon Sept,2007_NOP_CCy_Portfolio" xfId="32"/>
    <cellStyle name="_Interst Accrual - Recon Sept,2007_NOP_CCy_Portfolio_1" xfId="33"/>
    <cellStyle name="_Sheet1" xfId="34"/>
    <cellStyle name="_Sheet1_NOP_CCy_Portfolio" xfId="35"/>
    <cellStyle name="_Sheet1_NOP_CCy_Portfolio_1" xfId="36"/>
    <cellStyle name="_Treasury Bills - 300907" xfId="37"/>
    <cellStyle name="_Treasury Bills - 300907_NOP_CCy_Portfolio" xfId="38"/>
    <cellStyle name="_Treasury Bills - 300907_NOP_CCy_Portfolio_1" xfId="39"/>
    <cellStyle name="_Treasury Bills - ITMS &amp; KTP" xfId="40"/>
    <cellStyle name="_Treasury Bills - ITMS &amp; KTP_NOP_CCy_Portfolio" xfId="41"/>
    <cellStyle name="_Treasury Bills - ITMS &amp; KTP_NOP_CCy_Portfolio_1" xfId="42"/>
    <cellStyle name="_Working file" xfId="43"/>
    <cellStyle name="_Working file_NOP_CCy_Portfolio" xfId="44"/>
    <cellStyle name="_Working file_NOP_CCy_Portfolio_1" xfId="45"/>
    <cellStyle name="_working slr and nslr 2010-11" xfId="46"/>
    <cellStyle name="_working slr and nslr 2010-11_NOP_CCy_Portfolio" xfId="47"/>
    <cellStyle name="_working slr and nslr 2010-11_NOP_CCy_Portfolio_1" xfId="48"/>
    <cellStyle name="20% - Accent1" xfId="49" builtinId="30" customBuiltin="1"/>
    <cellStyle name="20% - Accent1 2" xfId="160"/>
    <cellStyle name="20% - Accent2" xfId="50" builtinId="34" customBuiltin="1"/>
    <cellStyle name="20% - Accent2 2" xfId="164"/>
    <cellStyle name="20% - Accent3" xfId="51" builtinId="38" customBuiltin="1"/>
    <cellStyle name="20% - Accent3 2" xfId="168"/>
    <cellStyle name="20% - Accent4" xfId="52" builtinId="42" customBuiltin="1"/>
    <cellStyle name="20% - Accent4 2" xfId="172"/>
    <cellStyle name="20% - Accent5" xfId="53" builtinId="46" customBuiltin="1"/>
    <cellStyle name="20% - Accent5 2" xfId="176"/>
    <cellStyle name="20% - Accent6" xfId="54" builtinId="50" customBuiltin="1"/>
    <cellStyle name="20% - Accent6 2" xfId="180"/>
    <cellStyle name="40% - Accent1" xfId="55" builtinId="31" customBuiltin="1"/>
    <cellStyle name="40% - Accent1 2" xfId="161"/>
    <cellStyle name="40% - Accent2" xfId="56" builtinId="35" customBuiltin="1"/>
    <cellStyle name="40% - Accent2 2" xfId="165"/>
    <cellStyle name="40% - Accent3" xfId="57" builtinId="39" customBuiltin="1"/>
    <cellStyle name="40% - Accent3 2" xfId="169"/>
    <cellStyle name="40% - Accent4" xfId="58" builtinId="43" customBuiltin="1"/>
    <cellStyle name="40% - Accent4 2" xfId="173"/>
    <cellStyle name="40% - Accent5" xfId="59" builtinId="47" customBuiltin="1"/>
    <cellStyle name="40% - Accent5 2" xfId="177"/>
    <cellStyle name="40% - Accent6" xfId="60" builtinId="51" customBuiltin="1"/>
    <cellStyle name="40% - Accent6 2" xfId="181"/>
    <cellStyle name="60% - Accent1" xfId="61" builtinId="32" customBuiltin="1"/>
    <cellStyle name="60% - Accent1 2" xfId="162"/>
    <cellStyle name="60% - Accent2" xfId="62" builtinId="36" customBuiltin="1"/>
    <cellStyle name="60% - Accent2 2" xfId="166"/>
    <cellStyle name="60% - Accent3" xfId="63" builtinId="40" customBuiltin="1"/>
    <cellStyle name="60% - Accent3 2" xfId="170"/>
    <cellStyle name="60% - Accent4" xfId="64" builtinId="44" customBuiltin="1"/>
    <cellStyle name="60% - Accent4 2" xfId="174"/>
    <cellStyle name="60% - Accent5" xfId="65" builtinId="48" customBuiltin="1"/>
    <cellStyle name="60% - Accent5 2" xfId="178"/>
    <cellStyle name="60% - Accent6" xfId="66" builtinId="52" customBuiltin="1"/>
    <cellStyle name="60% - Accent6 2" xfId="182"/>
    <cellStyle name="Accent1" xfId="67" builtinId="29" customBuiltin="1"/>
    <cellStyle name="Accent1 2" xfId="159"/>
    <cellStyle name="Accent2" xfId="68" builtinId="33" customBuiltin="1"/>
    <cellStyle name="Accent2 2" xfId="163"/>
    <cellStyle name="Accent3" xfId="69" builtinId="37" customBuiltin="1"/>
    <cellStyle name="Accent3 2" xfId="167"/>
    <cellStyle name="Accent4" xfId="70" builtinId="41" customBuiltin="1"/>
    <cellStyle name="Accent4 2" xfId="171"/>
    <cellStyle name="Accent5" xfId="71" builtinId="45" customBuiltin="1"/>
    <cellStyle name="Accent5 2" xfId="175"/>
    <cellStyle name="Accent6" xfId="72" builtinId="49" customBuiltin="1"/>
    <cellStyle name="Accent6 2" xfId="179"/>
    <cellStyle name="Bad" xfId="73" builtinId="27" customBuiltin="1"/>
    <cellStyle name="Bad 2" xfId="148"/>
    <cellStyle name="calc" xfId="74"/>
    <cellStyle name="Calculation" xfId="75" builtinId="22" customBuiltin="1"/>
    <cellStyle name="Calculation 2" xfId="152"/>
    <cellStyle name="Check Cell" xfId="76" builtinId="23" customBuiltin="1"/>
    <cellStyle name="Check Cell 2" xfId="154"/>
    <cellStyle name="Comma 2" xfId="77"/>
    <cellStyle name="Comma 3" xfId="78"/>
    <cellStyle name="Comma 4" xfId="79"/>
    <cellStyle name="Euro" xfId="80"/>
    <cellStyle name="Explanatory Text" xfId="81" builtinId="53" customBuiltin="1"/>
    <cellStyle name="Explanatory Text 2" xfId="157"/>
    <cellStyle name="font1" xfId="82"/>
    <cellStyle name="Good" xfId="83" builtinId="26" customBuiltin="1"/>
    <cellStyle name="Good 2" xfId="147"/>
    <cellStyle name="GreyOrWhite" xfId="84"/>
    <cellStyle name="Header" xfId="85"/>
    <cellStyle name="Heading 1" xfId="86" builtinId="16" customBuiltin="1"/>
    <cellStyle name="Heading 1 2" xfId="143"/>
    <cellStyle name="Heading 2" xfId="87" builtinId="17" customBuiltin="1"/>
    <cellStyle name="Heading 2 2" xfId="144"/>
    <cellStyle name="Heading 3" xfId="88" builtinId="18" customBuiltin="1"/>
    <cellStyle name="Heading 3 2" xfId="145"/>
    <cellStyle name="Heading 4" xfId="89" builtinId="19" customBuiltin="1"/>
    <cellStyle name="Heading 4 2" xfId="146"/>
    <cellStyle name="Input" xfId="90" builtinId="20" customBuiltin="1"/>
    <cellStyle name="Input 2" xfId="150"/>
    <cellStyle name="label" xfId="91"/>
    <cellStyle name="Linked Cell" xfId="92" builtinId="24" customBuiltin="1"/>
    <cellStyle name="Linked Cell 2" xfId="153"/>
    <cellStyle name="main_input" xfId="93"/>
    <cellStyle name="Milliers [0]_Open&amp;Close" xfId="94"/>
    <cellStyle name="Milliers_Open&amp;Close" xfId="95"/>
    <cellStyle name="Monétaire [0]_Open&amp;Close" xfId="96"/>
    <cellStyle name="Monétaire_Open&amp;Close" xfId="97"/>
    <cellStyle name="ms sans matif" xfId="98"/>
    <cellStyle name="Neutral" xfId="99" builtinId="28" customBuiltin="1"/>
    <cellStyle name="Neutral 2" xfId="149"/>
    <cellStyle name="Normal" xfId="0" builtinId="0"/>
    <cellStyle name="Normal 10" xfId="127"/>
    <cellStyle name="Normal 11" xfId="128"/>
    <cellStyle name="Normal 12" xfId="129"/>
    <cellStyle name="Normal 13" xfId="130"/>
    <cellStyle name="Normal 14" xfId="131"/>
    <cellStyle name="Normal 15" xfId="132"/>
    <cellStyle name="Normal 16" xfId="133"/>
    <cellStyle name="Normal 17" xfId="134"/>
    <cellStyle name="Normal 18" xfId="135"/>
    <cellStyle name="Normal 19" xfId="136"/>
    <cellStyle name="Normal 2" xfId="100"/>
    <cellStyle name="Normal 2 2" xfId="101"/>
    <cellStyle name="Normal 2 3" xfId="140"/>
    <cellStyle name="Normal 2_ALM FCY Positions" xfId="102"/>
    <cellStyle name="Normal 20" xfId="137"/>
    <cellStyle name="Normal 21" xfId="138"/>
    <cellStyle name="Normal 22" xfId="139"/>
    <cellStyle name="Normal 23" xfId="141"/>
    <cellStyle name="Normal 3" xfId="103"/>
    <cellStyle name="Normal 4" xfId="104"/>
    <cellStyle name="Normal 5" xfId="105"/>
    <cellStyle name="Normal 6" xfId="123"/>
    <cellStyle name="Normal 7" xfId="124"/>
    <cellStyle name="Normal 8" xfId="125"/>
    <cellStyle name="Normal 9" xfId="126"/>
    <cellStyle name="Normal_Sheet1" xfId="106"/>
    <cellStyle name="Note" xfId="107" builtinId="10" customBuiltin="1"/>
    <cellStyle name="Note 2" xfId="156"/>
    <cellStyle name="Output" xfId="108" builtinId="21" customBuiltin="1"/>
    <cellStyle name="Output 2" xfId="151"/>
    <cellStyle name="Percent" xfId="109" builtinId="5"/>
    <cellStyle name="Percent 2" xfId="110"/>
    <cellStyle name="rt" xfId="111"/>
    <cellStyle name="static" xfId="112"/>
    <cellStyle name="Style 1" xfId="113"/>
    <cellStyle name="Style 2" xfId="114"/>
    <cellStyle name="Style 3" xfId="115"/>
    <cellStyle name="Style 4" xfId="116"/>
    <cellStyle name="Style 5" xfId="117"/>
    <cellStyle name="text" xfId="118"/>
    <cellStyle name="Title" xfId="119" builtinId="15" customBuiltin="1"/>
    <cellStyle name="Title 2" xfId="142"/>
    <cellStyle name="Total" xfId="120" builtinId="25" customBuiltin="1"/>
    <cellStyle name="Total 2" xfId="158"/>
    <cellStyle name="Warning Text" xfId="121" builtinId="11" customBuiltin="1"/>
    <cellStyle name="Warning Text 2" xfId="155"/>
    <cellStyle name="Yellow" xfId="12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Histogram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0146983635328777E-2"/>
          <c:y val="0.10557093967688143"/>
          <c:w val="0.9240628438914229"/>
          <c:h val="0.69135378577466733"/>
        </c:manualLayout>
      </c:layout>
      <c:barChart>
        <c:barDir val="col"/>
        <c:grouping val="clustered"/>
        <c:varyColors val="0"/>
        <c:ser>
          <c:idx val="1"/>
          <c:order val="1"/>
          <c:tx>
            <c:v>FreqLine</c:v>
          </c:tx>
          <c:invertIfNegative val="0"/>
          <c:cat>
            <c:numRef>
              <c:f>'Simulation developed by Pankaj'!$V$32:$V$57</c:f>
              <c:numCache>
                <c:formatCode>#,##0_);[Red]\(#,##0\)</c:formatCode>
                <c:ptCount val="26"/>
                <c:pt idx="0">
                  <c:v>-17600165.71234417</c:v>
                </c:pt>
                <c:pt idx="1">
                  <c:v>-17322908.209852219</c:v>
                </c:pt>
                <c:pt idx="2">
                  <c:v>-14734987.692865372</c:v>
                </c:pt>
                <c:pt idx="3">
                  <c:v>-13601066.788747787</c:v>
                </c:pt>
                <c:pt idx="4">
                  <c:v>-11711833</c:v>
                </c:pt>
                <c:pt idx="5">
                  <c:v>-9822599</c:v>
                </c:pt>
                <c:pt idx="6">
                  <c:v>-7933365</c:v>
                </c:pt>
                <c:pt idx="7">
                  <c:v>-6044131</c:v>
                </c:pt>
                <c:pt idx="8">
                  <c:v>-4154897</c:v>
                </c:pt>
                <c:pt idx="9">
                  <c:v>-2265663</c:v>
                </c:pt>
                <c:pt idx="10">
                  <c:v>-376429</c:v>
                </c:pt>
                <c:pt idx="11">
                  <c:v>1512805</c:v>
                </c:pt>
                <c:pt idx="12">
                  <c:v>3402039</c:v>
                </c:pt>
                <c:pt idx="13">
                  <c:v>5291273</c:v>
                </c:pt>
                <c:pt idx="14">
                  <c:v>7180507</c:v>
                </c:pt>
                <c:pt idx="15">
                  <c:v>9069741</c:v>
                </c:pt>
                <c:pt idx="16">
                  <c:v>10958975</c:v>
                </c:pt>
                <c:pt idx="17">
                  <c:v>12848209</c:v>
                </c:pt>
                <c:pt idx="18">
                  <c:v>14737443</c:v>
                </c:pt>
                <c:pt idx="19">
                  <c:v>16626677</c:v>
                </c:pt>
                <c:pt idx="20">
                  <c:v>18515911</c:v>
                </c:pt>
                <c:pt idx="21">
                  <c:v>20405145</c:v>
                </c:pt>
                <c:pt idx="22">
                  <c:v>22294379</c:v>
                </c:pt>
                <c:pt idx="23">
                  <c:v>24183613</c:v>
                </c:pt>
                <c:pt idx="24">
                  <c:v>26072847</c:v>
                </c:pt>
                <c:pt idx="25">
                  <c:v>27962076</c:v>
                </c:pt>
              </c:numCache>
            </c:numRef>
          </c:cat>
          <c:val>
            <c:numRef>
              <c:f>'Simulation developed by Pankaj'!$W$32:$W$57</c:f>
              <c:numCache>
                <c:formatCode>General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11</c:v>
                </c:pt>
                <c:pt idx="8">
                  <c:v>24</c:v>
                </c:pt>
                <c:pt idx="9">
                  <c:v>25</c:v>
                </c:pt>
                <c:pt idx="10">
                  <c:v>44</c:v>
                </c:pt>
                <c:pt idx="11">
                  <c:v>54</c:v>
                </c:pt>
                <c:pt idx="12">
                  <c:v>33</c:v>
                </c:pt>
                <c:pt idx="13">
                  <c:v>20</c:v>
                </c:pt>
                <c:pt idx="14">
                  <c:v>14</c:v>
                </c:pt>
                <c:pt idx="15">
                  <c:v>10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236160"/>
        <c:axId val="284094848"/>
      </c:barChart>
      <c:lineChart>
        <c:grouping val="standard"/>
        <c:varyColors val="0"/>
        <c:ser>
          <c:idx val="0"/>
          <c:order val="0"/>
          <c:tx>
            <c:strRef>
              <c:f>'Simulation developed by Pankaj'!$W$31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cat>
            <c:numRef>
              <c:f>'Simulation developed by Pankaj'!$V$32:$V$57</c:f>
              <c:numCache>
                <c:formatCode>#,##0_);[Red]\(#,##0\)</c:formatCode>
                <c:ptCount val="26"/>
                <c:pt idx="0">
                  <c:v>-17600165.71234417</c:v>
                </c:pt>
                <c:pt idx="1">
                  <c:v>-17322908.209852219</c:v>
                </c:pt>
                <c:pt idx="2">
                  <c:v>-14734987.692865372</c:v>
                </c:pt>
                <c:pt idx="3">
                  <c:v>-13601066.788747787</c:v>
                </c:pt>
                <c:pt idx="4">
                  <c:v>-11711833</c:v>
                </c:pt>
                <c:pt idx="5">
                  <c:v>-9822599</c:v>
                </c:pt>
                <c:pt idx="6">
                  <c:v>-7933365</c:v>
                </c:pt>
                <c:pt idx="7">
                  <c:v>-6044131</c:v>
                </c:pt>
                <c:pt idx="8">
                  <c:v>-4154897</c:v>
                </c:pt>
                <c:pt idx="9">
                  <c:v>-2265663</c:v>
                </c:pt>
                <c:pt idx="10">
                  <c:v>-376429</c:v>
                </c:pt>
                <c:pt idx="11">
                  <c:v>1512805</c:v>
                </c:pt>
                <c:pt idx="12">
                  <c:v>3402039</c:v>
                </c:pt>
                <c:pt idx="13">
                  <c:v>5291273</c:v>
                </c:pt>
                <c:pt idx="14">
                  <c:v>7180507</c:v>
                </c:pt>
                <c:pt idx="15">
                  <c:v>9069741</c:v>
                </c:pt>
                <c:pt idx="16">
                  <c:v>10958975</c:v>
                </c:pt>
                <c:pt idx="17">
                  <c:v>12848209</c:v>
                </c:pt>
                <c:pt idx="18">
                  <c:v>14737443</c:v>
                </c:pt>
                <c:pt idx="19">
                  <c:v>16626677</c:v>
                </c:pt>
                <c:pt idx="20">
                  <c:v>18515911</c:v>
                </c:pt>
                <c:pt idx="21">
                  <c:v>20405145</c:v>
                </c:pt>
                <c:pt idx="22">
                  <c:v>22294379</c:v>
                </c:pt>
                <c:pt idx="23">
                  <c:v>24183613</c:v>
                </c:pt>
                <c:pt idx="24">
                  <c:v>26072847</c:v>
                </c:pt>
                <c:pt idx="25">
                  <c:v>27962076</c:v>
                </c:pt>
              </c:numCache>
            </c:numRef>
          </c:cat>
          <c:val>
            <c:numRef>
              <c:f>'Simulation developed by Pankaj'!$W$32:$W$57</c:f>
              <c:numCache>
                <c:formatCode>General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11</c:v>
                </c:pt>
                <c:pt idx="8">
                  <c:v>24</c:v>
                </c:pt>
                <c:pt idx="9">
                  <c:v>25</c:v>
                </c:pt>
                <c:pt idx="10">
                  <c:v>44</c:v>
                </c:pt>
                <c:pt idx="11">
                  <c:v>54</c:v>
                </c:pt>
                <c:pt idx="12">
                  <c:v>33</c:v>
                </c:pt>
                <c:pt idx="13">
                  <c:v>20</c:v>
                </c:pt>
                <c:pt idx="14">
                  <c:v>14</c:v>
                </c:pt>
                <c:pt idx="15">
                  <c:v>10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160"/>
        <c:axId val="284094848"/>
      </c:lineChart>
      <c:catAx>
        <c:axId val="212236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</a:t>
                </a:r>
              </a:p>
            </c:rich>
          </c:tx>
          <c:layout/>
          <c:overlay val="0"/>
        </c:title>
        <c:numFmt formatCode="#,##0_);[Red]\(#,##0\)" sourceLinked="1"/>
        <c:majorTickMark val="out"/>
        <c:minorTickMark val="none"/>
        <c:tickLblPos val="nextTo"/>
        <c:crossAx val="284094848"/>
        <c:crosses val="autoZero"/>
        <c:auto val="1"/>
        <c:lblAlgn val="ctr"/>
        <c:lblOffset val="100"/>
        <c:noMultiLvlLbl val="0"/>
      </c:catAx>
      <c:valAx>
        <c:axId val="284094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236160"/>
        <c:crosses val="autoZero"/>
        <c:crossBetween val="midCat"/>
        <c:majorUnit val="5"/>
      </c:valAx>
    </c:plotArea>
    <c:legend>
      <c:legendPos val="r"/>
      <c:layout>
        <c:manualLayout>
          <c:xMode val="edge"/>
          <c:yMode val="edge"/>
          <c:x val="0.83358984427726979"/>
          <c:y val="0.16983233623549618"/>
          <c:w val="9.2606162916226406E-2"/>
          <c:h val="9.073863603811802E-2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68580</xdr:rowOff>
    </xdr:from>
    <xdr:to>
      <xdr:col>7</xdr:col>
      <xdr:colOff>472440</xdr:colOff>
      <xdr:row>21</xdr:row>
      <xdr:rowOff>91440</xdr:rowOff>
    </xdr:to>
    <xdr:sp macro="" textlink="">
      <xdr:nvSpPr>
        <xdr:cNvPr id="2" name="TextBox 1"/>
        <xdr:cNvSpPr txBox="1"/>
      </xdr:nvSpPr>
      <xdr:spPr>
        <a:xfrm>
          <a:off x="114300" y="68580"/>
          <a:ext cx="4175760" cy="3467100"/>
        </a:xfrm>
        <a:prstGeom prst="rect">
          <a:avLst/>
        </a:prstGeom>
        <a:pattFill prst="pct50">
          <a:fgClr>
            <a:schemeClr val="lt1"/>
          </a:fgClr>
          <a:bgClr>
            <a:schemeClr val="bg1">
              <a:lumMod val="65000"/>
            </a:schemeClr>
          </a:bgClr>
        </a:patt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This file has three sheets :</a:t>
          </a:r>
        </a:p>
        <a:p>
          <a:endParaRPr lang="en-IN" sz="1100" b="1"/>
        </a:p>
        <a:p>
          <a:r>
            <a:rPr lang="en-IN" sz="1100" b="1"/>
            <a:t>1. CF &amp; PVs :- contains ( a) sample FX Forward positions and (b) their PVs computation using market data set.</a:t>
          </a:r>
        </a:p>
        <a:p>
          <a:endParaRPr lang="en-IN" sz="1100" b="1"/>
        </a:p>
        <a:p>
          <a:r>
            <a:rPr lang="en-IN" sz="1100" b="1"/>
            <a:t>2. MarketData :- contains (a)  current market data for the reporting date in column "D" (b) time series of past 260 working days market data columns</a:t>
          </a:r>
          <a:r>
            <a:rPr lang="en-IN" sz="1100" b="1" baseline="0"/>
            <a:t> "E"</a:t>
          </a:r>
          <a:r>
            <a:rPr lang="en-IN" sz="1100" b="1"/>
            <a:t> to</a:t>
          </a:r>
          <a:r>
            <a:rPr lang="en-IN" sz="1100" b="1" baseline="0"/>
            <a:t> "JD".  ( All ad-hoc data; not actual one)</a:t>
          </a:r>
        </a:p>
        <a:p>
          <a:endParaRPr lang="en-IN" sz="1100" b="1" baseline="0"/>
        </a:p>
        <a:p>
          <a:r>
            <a:rPr lang="en-IN" sz="1100" b="1" baseline="0"/>
            <a:t>3. Simulation :- Here, you will see the main action. Click on macro button "Run HVaR" and see interactive simulation of HVaR number.</a:t>
          </a:r>
          <a:endParaRPr lang="en-IN" sz="1100" b="1"/>
        </a:p>
        <a:p>
          <a:endParaRPr lang="en-IN" sz="1100" b="1"/>
        </a:p>
        <a:p>
          <a:r>
            <a:rPr lang="en-IN" sz="1100" b="1"/>
            <a:t>Disclaimer: </a:t>
          </a:r>
        </a:p>
        <a:p>
          <a:r>
            <a:rPr lang="en-IN" sz="1100"/>
            <a:t>This excel file has been provided "as is" basis only for high level conceptual understanding i.e. educational purpose. The user is highly</a:t>
          </a:r>
          <a:r>
            <a:rPr lang="en-IN" sz="1100" baseline="0"/>
            <a:t> advised to seek professional help for developing actual production version.</a:t>
          </a:r>
        </a:p>
        <a:p>
          <a:endParaRPr lang="en-IN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IN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© 2019 Pankaj Sharma.  This program can be retrieved from </a:t>
          </a:r>
        </a:p>
        <a:p>
          <a:r>
            <a:rPr lang="en-IN" sz="900" b="0" i="0" u="sng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https://github.com/ps-ql/excel-vba/</a:t>
          </a:r>
          <a:r>
            <a:rPr lang="en-IN" sz="900" u="sng">
              <a:solidFill>
                <a:srgbClr val="0070C0"/>
              </a:solidFill>
            </a:rPr>
            <a:t> </a:t>
          </a:r>
        </a:p>
        <a:p>
          <a:endParaRPr lang="en-IN" sz="900"/>
        </a:p>
        <a:p>
          <a:endParaRPr lang="en-IN" sz="1100"/>
        </a:p>
        <a:p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0</xdr:row>
      <xdr:rowOff>152400</xdr:rowOff>
    </xdr:from>
    <xdr:to>
      <xdr:col>19</xdr:col>
      <xdr:colOff>185057</xdr:colOff>
      <xdr:row>38</xdr:row>
      <xdr:rowOff>54429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0</xdr:row>
          <xdr:rowOff>30480</xdr:rowOff>
        </xdr:from>
        <xdr:to>
          <xdr:col>2</xdr:col>
          <xdr:colOff>411480</xdr:colOff>
          <xdr:row>2</xdr:row>
          <xdr:rowOff>7620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HVaR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435429</xdr:colOff>
      <xdr:row>34</xdr:row>
      <xdr:rowOff>206829</xdr:rowOff>
    </xdr:from>
    <xdr:to>
      <xdr:col>4</xdr:col>
      <xdr:colOff>130629</xdr:colOff>
      <xdr:row>37</xdr:row>
      <xdr:rowOff>152400</xdr:rowOff>
    </xdr:to>
    <xdr:cxnSp macro="">
      <xdr:nvCxnSpPr>
        <xdr:cNvPr id="4" name="Straight Arrow Connector 3"/>
        <xdr:cNvCxnSpPr/>
      </xdr:nvCxnSpPr>
      <xdr:spPr>
        <a:xfrm flipV="1">
          <a:off x="1611086" y="6389915"/>
          <a:ext cx="1338943" cy="566056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511630</xdr:colOff>
      <xdr:row>1</xdr:row>
      <xdr:rowOff>21771</xdr:rowOff>
    </xdr:from>
    <xdr:to>
      <xdr:col>3</xdr:col>
      <xdr:colOff>925286</xdr:colOff>
      <xdr:row>1</xdr:row>
      <xdr:rowOff>43543</xdr:rowOff>
    </xdr:to>
    <xdr:cxnSp macro="">
      <xdr:nvCxnSpPr>
        <xdr:cNvPr id="7" name="Straight Arrow Connector 6"/>
        <xdr:cNvCxnSpPr/>
      </xdr:nvCxnSpPr>
      <xdr:spPr>
        <a:xfrm flipH="1" flipV="1">
          <a:off x="1687287" y="185057"/>
          <a:ext cx="1023256" cy="21772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4"/>
  <sheetViews>
    <sheetView showGridLines="0" showRowColHeaders="0" workbookViewId="0">
      <selection activeCell="H19" sqref="H19"/>
    </sheetView>
  </sheetViews>
  <sheetFormatPr defaultColWidth="0" defaultRowHeight="13.2" zeroHeight="1" x14ac:dyDescent="0.25"/>
  <cols>
    <col min="1" max="1" width="2.33203125" customWidth="1"/>
    <col min="2" max="8" width="8.88671875" customWidth="1"/>
    <col min="9" max="16384" width="8.88671875" hidden="1"/>
  </cols>
  <sheetData>
    <row r="1" ht="7.2" customHeight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hidden="1" x14ac:dyDescent="0.25"/>
    <row r="24" hidden="1" x14ac:dyDescent="0.25"/>
  </sheetData>
  <sheetProtection password="CF65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6"/>
  <sheetViews>
    <sheetView workbookViewId="0">
      <selection activeCell="H4" sqref="H4"/>
    </sheetView>
  </sheetViews>
  <sheetFormatPr defaultRowHeight="13.2" x14ac:dyDescent="0.25"/>
  <cols>
    <col min="1" max="1" width="16.5546875" bestFit="1" customWidth="1"/>
    <col min="2" max="2" width="15.88671875" customWidth="1"/>
    <col min="3" max="3" width="17.33203125" customWidth="1"/>
    <col min="4" max="4" width="15.44140625" customWidth="1"/>
    <col min="5" max="5" width="16" customWidth="1"/>
    <col min="6" max="6" width="13.44140625" bestFit="1" customWidth="1"/>
    <col min="7" max="8" width="17.33203125" bestFit="1" customWidth="1"/>
    <col min="11" max="11" width="16" customWidth="1"/>
    <col min="12" max="12" width="17" customWidth="1"/>
    <col min="13" max="13" width="16" bestFit="1" customWidth="1"/>
    <col min="14" max="14" width="16.5546875" bestFit="1" customWidth="1"/>
    <col min="15" max="16" width="16" bestFit="1" customWidth="1"/>
    <col min="17" max="17" width="14.6640625" bestFit="1" customWidth="1"/>
  </cols>
  <sheetData>
    <row r="1" spans="1:8" x14ac:dyDescent="0.25">
      <c r="A1" s="3"/>
      <c r="B1" s="3"/>
    </row>
    <row r="3" spans="1:8" x14ac:dyDescent="0.25">
      <c r="A3" s="18"/>
      <c r="D3" s="6"/>
    </row>
    <row r="4" spans="1:8" x14ac:dyDescent="0.25">
      <c r="A4" s="64"/>
      <c r="B4" s="1" t="s">
        <v>55</v>
      </c>
      <c r="C4" s="5">
        <v>43476</v>
      </c>
      <c r="D4" s="31"/>
      <c r="G4" s="1" t="s">
        <v>53</v>
      </c>
      <c r="H4" s="39">
        <f>SUBTOTAL(9,H9:H20)</f>
        <v>-1340680.9107809067</v>
      </c>
    </row>
    <row r="5" spans="1:8" x14ac:dyDescent="0.25">
      <c r="A5" s="64"/>
      <c r="C5" s="29"/>
      <c r="D5" s="31"/>
    </row>
    <row r="6" spans="1:8" x14ac:dyDescent="0.25">
      <c r="A6" s="18"/>
      <c r="B6" s="6"/>
      <c r="C6" s="6"/>
      <c r="D6" s="31"/>
    </row>
    <row r="7" spans="1:8" x14ac:dyDescent="0.25">
      <c r="A7" s="72" t="s">
        <v>66</v>
      </c>
      <c r="B7" s="72"/>
      <c r="C7" s="72"/>
      <c r="D7" s="73" t="s">
        <v>65</v>
      </c>
      <c r="E7" s="74"/>
      <c r="F7" s="74"/>
      <c r="G7" s="74"/>
      <c r="H7" s="75"/>
    </row>
    <row r="8" spans="1:8" x14ac:dyDescent="0.25">
      <c r="A8" s="63" t="s">
        <v>0</v>
      </c>
      <c r="B8" s="63" t="s">
        <v>1</v>
      </c>
      <c r="C8" s="63" t="s">
        <v>2</v>
      </c>
      <c r="D8" s="48" t="s">
        <v>3</v>
      </c>
      <c r="E8" s="48" t="s">
        <v>6</v>
      </c>
      <c r="F8" s="48" t="s">
        <v>4</v>
      </c>
      <c r="G8" s="48" t="s">
        <v>50</v>
      </c>
      <c r="H8" s="48" t="s">
        <v>49</v>
      </c>
    </row>
    <row r="9" spans="1:8" x14ac:dyDescent="0.25">
      <c r="A9" s="51" t="s">
        <v>47</v>
      </c>
      <c r="B9" s="52">
        <v>43505</v>
      </c>
      <c r="C9" s="53">
        <v>100000000</v>
      </c>
      <c r="D9" s="58">
        <f>zy('Simulation developed by Pankaj'!$E$8:$E$21,'Simulation developed by Pankaj'!$F$8:$F$21,E9)/100</f>
        <v>2.9526190897335935E-3</v>
      </c>
      <c r="E9" s="59">
        <f>(B9-$C$4)</f>
        <v>29</v>
      </c>
      <c r="F9" s="51">
        <f>EXP(-D9*E9/365)</f>
        <v>0.99976543586076549</v>
      </c>
      <c r="G9" s="53">
        <f t="shared" ref="G9:G12" si="0">C9*F9</f>
        <v>99976543.586076543</v>
      </c>
      <c r="H9" s="53">
        <f>G9*IF(A9="Fcy", 'Simulation developed by Pankaj'!$F$7,1)</f>
        <v>6998358051.0253582</v>
      </c>
    </row>
    <row r="10" spans="1:8" x14ac:dyDescent="0.25">
      <c r="A10" s="51" t="s">
        <v>48</v>
      </c>
      <c r="B10" s="52">
        <v>43505</v>
      </c>
      <c r="C10" s="53">
        <v>-7051500000</v>
      </c>
      <c r="D10" s="58">
        <f>zy('Simulation developed by Pankaj'!$E$8:$E$21,'Simulation developed by Pankaj'!$G$8:$G$21,E10)/100</f>
        <v>6.3942159222705311E-2</v>
      </c>
      <c r="E10" s="59">
        <f>(B10-$C$4)</f>
        <v>29</v>
      </c>
      <c r="F10" s="51">
        <f t="shared" ref="F10:F12" si="1">EXP(-D10*E10/365)</f>
        <v>0.99493254714235468</v>
      </c>
      <c r="G10" s="53">
        <f t="shared" si="0"/>
        <v>-7015766856.1743145</v>
      </c>
      <c r="H10" s="53">
        <f>G10*IF(A10="Fcy", 'Simulation developed by Pankaj'!$F$7,1)</f>
        <v>-7015766856.1743145</v>
      </c>
    </row>
    <row r="11" spans="1:8" x14ac:dyDescent="0.25">
      <c r="A11" s="54" t="s">
        <v>47</v>
      </c>
      <c r="B11" s="52">
        <v>43600</v>
      </c>
      <c r="C11" s="53">
        <v>-100000000</v>
      </c>
      <c r="D11" s="58">
        <f>zy('Simulation developed by Pankaj'!$E$8:$E$21,'Simulation developed by Pankaj'!$F$8:$F$21,E11)/100</f>
        <v>7.1462995381521739E-3</v>
      </c>
      <c r="E11" s="59">
        <f>(B11-$C$4)</f>
        <v>124</v>
      </c>
      <c r="F11" s="51">
        <f t="shared" si="1"/>
        <v>0.99757516073127228</v>
      </c>
      <c r="G11" s="53">
        <f t="shared" si="0"/>
        <v>-99757516.073127225</v>
      </c>
      <c r="H11" s="53">
        <f>G11*IF(A11="Fcy", 'Simulation developed by Pankaj'!$F$7,1)</f>
        <v>-6983026125.118906</v>
      </c>
    </row>
    <row r="12" spans="1:8" x14ac:dyDescent="0.25">
      <c r="A12" s="54" t="s">
        <v>48</v>
      </c>
      <c r="B12" s="52">
        <v>43600</v>
      </c>
      <c r="C12" s="53">
        <v>7156000000</v>
      </c>
      <c r="D12" s="58">
        <f>zy('Simulation developed by Pankaj'!$E$8:$E$21,'Simulation developed by Pankaj'!$G$8:$G$21,E12)/100</f>
        <v>6.525969788653381E-2</v>
      </c>
      <c r="E12" s="59">
        <f>(B12-$C$4)</f>
        <v>124</v>
      </c>
      <c r="F12" s="51">
        <f t="shared" si="1"/>
        <v>0.97807353959713272</v>
      </c>
      <c r="G12" s="53">
        <f t="shared" si="0"/>
        <v>6999094249.3570814</v>
      </c>
      <c r="H12" s="53">
        <f>G12*IF(A12="Fcy", 'Simulation developed by Pankaj'!$F$7,1)</f>
        <v>6999094249.3570814</v>
      </c>
    </row>
    <row r="13" spans="1:8" x14ac:dyDescent="0.25">
      <c r="A13" s="54"/>
      <c r="B13" s="52"/>
      <c r="C13" s="53"/>
      <c r="D13" s="58"/>
      <c r="E13" s="59"/>
      <c r="F13" s="51"/>
      <c r="G13" s="53"/>
      <c r="H13" s="53"/>
    </row>
    <row r="14" spans="1:8" x14ac:dyDescent="0.25">
      <c r="A14" s="51"/>
      <c r="B14" s="52"/>
      <c r="C14" s="53"/>
      <c r="D14" s="58"/>
      <c r="E14" s="59"/>
      <c r="F14" s="51"/>
      <c r="G14" s="53"/>
      <c r="H14" s="53"/>
    </row>
    <row r="15" spans="1:8" x14ac:dyDescent="0.25">
      <c r="A15" s="51"/>
      <c r="B15" s="52"/>
      <c r="C15" s="53"/>
      <c r="D15" s="58"/>
      <c r="E15" s="59"/>
      <c r="F15" s="51"/>
      <c r="G15" s="53"/>
      <c r="H15" s="53"/>
    </row>
    <row r="16" spans="1:8" x14ac:dyDescent="0.25">
      <c r="A16" s="51"/>
      <c r="B16" s="52"/>
      <c r="C16" s="53"/>
      <c r="D16" s="58"/>
      <c r="E16" s="59"/>
      <c r="F16" s="51"/>
      <c r="G16" s="53"/>
      <c r="H16" s="53"/>
    </row>
    <row r="17" spans="1:8" x14ac:dyDescent="0.25">
      <c r="A17" s="51"/>
      <c r="B17" s="52"/>
      <c r="C17" s="53"/>
      <c r="D17" s="58"/>
      <c r="E17" s="59"/>
      <c r="F17" s="51"/>
      <c r="G17" s="53"/>
      <c r="H17" s="53"/>
    </row>
    <row r="18" spans="1:8" x14ac:dyDescent="0.25">
      <c r="A18" s="51"/>
      <c r="B18" s="52"/>
      <c r="C18" s="53"/>
      <c r="D18" s="58"/>
      <c r="E18" s="59"/>
      <c r="F18" s="51"/>
      <c r="G18" s="53"/>
      <c r="H18" s="53"/>
    </row>
    <row r="19" spans="1:8" x14ac:dyDescent="0.25">
      <c r="A19" s="51"/>
      <c r="B19" s="52"/>
      <c r="C19" s="53"/>
      <c r="D19" s="58"/>
      <c r="E19" s="59"/>
      <c r="F19" s="51"/>
      <c r="G19" s="53"/>
      <c r="H19" s="53"/>
    </row>
    <row r="20" spans="1:8" x14ac:dyDescent="0.25">
      <c r="A20" s="55"/>
      <c r="B20" s="56"/>
      <c r="C20" s="57"/>
      <c r="D20" s="60"/>
      <c r="E20" s="61"/>
      <c r="F20" s="55"/>
      <c r="G20" s="57"/>
      <c r="H20" s="57"/>
    </row>
    <row r="21" spans="1:8" x14ac:dyDescent="0.25">
      <c r="B21" s="2"/>
      <c r="C21" s="9"/>
      <c r="D21" s="31"/>
      <c r="E21" s="3"/>
      <c r="G21" s="9"/>
      <c r="H21" s="9"/>
    </row>
    <row r="22" spans="1:8" x14ac:dyDescent="0.25">
      <c r="B22" s="2"/>
      <c r="C22" s="9"/>
      <c r="D22" s="31"/>
      <c r="E22" s="3"/>
      <c r="G22" s="9"/>
      <c r="H22" s="9"/>
    </row>
    <row r="23" spans="1:8" x14ac:dyDescent="0.25">
      <c r="B23" s="2"/>
      <c r="C23" s="9"/>
      <c r="D23" s="31"/>
      <c r="E23" s="3"/>
      <c r="G23" s="9"/>
      <c r="H23" s="9"/>
    </row>
    <row r="24" spans="1:8" x14ac:dyDescent="0.25">
      <c r="B24" s="2"/>
      <c r="C24" s="9"/>
      <c r="D24" s="31"/>
      <c r="E24" s="3"/>
      <c r="G24" s="9"/>
      <c r="H24" s="9"/>
    </row>
    <row r="25" spans="1:8" x14ac:dyDescent="0.25">
      <c r="B25" s="2"/>
      <c r="C25" s="9"/>
      <c r="D25" s="31"/>
      <c r="E25" s="3"/>
      <c r="G25" s="9"/>
      <c r="H25" s="9"/>
    </row>
    <row r="26" spans="1:8" x14ac:dyDescent="0.25">
      <c r="B26" s="2"/>
      <c r="C26" s="9"/>
      <c r="D26" s="31"/>
      <c r="E26" s="3"/>
      <c r="G26" s="9"/>
      <c r="H26" s="9"/>
    </row>
    <row r="27" spans="1:8" x14ac:dyDescent="0.25">
      <c r="B27" s="2"/>
      <c r="C27" s="9"/>
      <c r="D27" s="31"/>
      <c r="E27" s="3"/>
      <c r="G27" s="9"/>
      <c r="H27" s="9"/>
    </row>
    <row r="28" spans="1:8" x14ac:dyDescent="0.25">
      <c r="B28" s="2"/>
      <c r="C28" s="9"/>
      <c r="D28" s="31"/>
      <c r="E28" s="3"/>
      <c r="G28" s="9"/>
      <c r="H28" s="9"/>
    </row>
    <row r="29" spans="1:8" x14ac:dyDescent="0.25">
      <c r="B29" s="2"/>
      <c r="C29" s="9"/>
      <c r="D29" s="31"/>
      <c r="E29" s="3"/>
      <c r="G29" s="9"/>
      <c r="H29" s="9"/>
    </row>
    <row r="30" spans="1:8" x14ac:dyDescent="0.25">
      <c r="B30" s="2"/>
      <c r="C30" s="9"/>
      <c r="D30" s="31"/>
      <c r="E30" s="3"/>
      <c r="G30" s="9"/>
      <c r="H30" s="9"/>
    </row>
    <row r="31" spans="1:8" x14ac:dyDescent="0.25">
      <c r="B31" s="2"/>
      <c r="C31" s="9"/>
      <c r="D31" s="31"/>
      <c r="E31" s="3"/>
      <c r="G31" s="9"/>
      <c r="H31" s="9"/>
    </row>
    <row r="32" spans="1:8" x14ac:dyDescent="0.25">
      <c r="B32" s="2"/>
      <c r="C32" s="9"/>
      <c r="D32" s="31"/>
      <c r="E32" s="3"/>
      <c r="G32" s="9"/>
      <c r="H32" s="9"/>
    </row>
    <row r="33" spans="2:8" x14ac:dyDescent="0.25">
      <c r="B33" s="2"/>
      <c r="C33" s="9"/>
      <c r="D33" s="31"/>
      <c r="E33" s="3"/>
      <c r="G33" s="9"/>
      <c r="H33" s="9"/>
    </row>
    <row r="34" spans="2:8" x14ac:dyDescent="0.25">
      <c r="B34" s="2"/>
      <c r="C34" s="9"/>
      <c r="D34" s="31"/>
      <c r="E34" s="3"/>
      <c r="G34" s="9"/>
      <c r="H34" s="9"/>
    </row>
    <row r="35" spans="2:8" x14ac:dyDescent="0.25">
      <c r="B35" s="2"/>
      <c r="C35" s="9"/>
      <c r="D35" s="31"/>
      <c r="E35" s="3"/>
      <c r="G35" s="9"/>
      <c r="H35" s="9"/>
    </row>
    <row r="36" spans="2:8" x14ac:dyDescent="0.25">
      <c r="B36" s="2"/>
      <c r="C36" s="9"/>
      <c r="D36" s="31"/>
      <c r="E36" s="3"/>
      <c r="G36" s="9"/>
      <c r="H36" s="9"/>
    </row>
    <row r="37" spans="2:8" x14ac:dyDescent="0.25">
      <c r="B37" s="2"/>
      <c r="C37" s="9"/>
      <c r="D37" s="31"/>
      <c r="E37" s="3"/>
      <c r="G37" s="9"/>
      <c r="H37" s="9"/>
    </row>
    <row r="38" spans="2:8" x14ac:dyDescent="0.25">
      <c r="B38" s="2"/>
      <c r="C38" s="9"/>
      <c r="D38" s="31"/>
      <c r="E38" s="3"/>
      <c r="G38" s="9"/>
      <c r="H38" s="9"/>
    </row>
    <row r="39" spans="2:8" x14ac:dyDescent="0.25">
      <c r="B39" s="2"/>
      <c r="C39" s="9"/>
      <c r="D39" s="31"/>
      <c r="E39" s="3"/>
      <c r="G39" s="9"/>
      <c r="H39" s="9"/>
    </row>
    <row r="40" spans="2:8" x14ac:dyDescent="0.25">
      <c r="B40" s="2"/>
      <c r="C40" s="9"/>
      <c r="D40" s="31"/>
      <c r="E40" s="3"/>
      <c r="G40" s="9"/>
      <c r="H40" s="9"/>
    </row>
    <row r="41" spans="2:8" x14ac:dyDescent="0.25">
      <c r="B41" s="2"/>
      <c r="C41" s="9"/>
      <c r="D41" s="31"/>
      <c r="E41" s="3"/>
      <c r="G41" s="9"/>
      <c r="H41" s="9"/>
    </row>
    <row r="42" spans="2:8" x14ac:dyDescent="0.25">
      <c r="B42" s="2"/>
      <c r="C42" s="9"/>
      <c r="D42" s="31"/>
      <c r="E42" s="3"/>
      <c r="G42" s="9"/>
      <c r="H42" s="9"/>
    </row>
    <row r="43" spans="2:8" x14ac:dyDescent="0.25">
      <c r="B43" s="2"/>
      <c r="C43" s="9"/>
      <c r="D43" s="31"/>
      <c r="E43" s="3"/>
      <c r="G43" s="9"/>
      <c r="H43" s="9"/>
    </row>
    <row r="44" spans="2:8" x14ac:dyDescent="0.25">
      <c r="B44" s="2"/>
      <c r="C44" s="9"/>
      <c r="D44" s="31"/>
      <c r="E44" s="3"/>
      <c r="G44" s="9"/>
      <c r="H44" s="9"/>
    </row>
    <row r="45" spans="2:8" x14ac:dyDescent="0.25">
      <c r="B45" s="2"/>
      <c r="C45" s="9"/>
      <c r="D45" s="31"/>
      <c r="E45" s="3"/>
      <c r="G45" s="9"/>
      <c r="H45" s="9"/>
    </row>
    <row r="46" spans="2:8" x14ac:dyDescent="0.25">
      <c r="B46" s="2"/>
      <c r="C46" s="9"/>
      <c r="D46" s="31"/>
      <c r="E46" s="3"/>
      <c r="G46" s="9"/>
      <c r="H46" s="9"/>
    </row>
    <row r="47" spans="2:8" x14ac:dyDescent="0.25">
      <c r="B47" s="2"/>
      <c r="C47" s="9"/>
      <c r="D47" s="31"/>
      <c r="E47" s="3"/>
      <c r="G47" s="9"/>
      <c r="H47" s="9"/>
    </row>
    <row r="48" spans="2:8" x14ac:dyDescent="0.25">
      <c r="B48" s="2"/>
      <c r="C48" s="9"/>
      <c r="D48" s="31"/>
      <c r="E48" s="3"/>
      <c r="G48" s="9"/>
      <c r="H48" s="9"/>
    </row>
    <row r="49" spans="2:8" x14ac:dyDescent="0.25">
      <c r="B49" s="2"/>
      <c r="C49" s="9"/>
      <c r="D49" s="31"/>
      <c r="E49" s="3"/>
      <c r="G49" s="9"/>
      <c r="H49" s="9"/>
    </row>
    <row r="50" spans="2:8" x14ac:dyDescent="0.25">
      <c r="B50" s="2"/>
      <c r="C50" s="9"/>
      <c r="D50" s="31"/>
      <c r="E50" s="3"/>
      <c r="G50" s="9"/>
      <c r="H50" s="9"/>
    </row>
    <row r="51" spans="2:8" x14ac:dyDescent="0.25">
      <c r="B51" s="2"/>
      <c r="C51" s="9"/>
      <c r="D51" s="31"/>
      <c r="E51" s="3"/>
      <c r="G51" s="9"/>
      <c r="H51" s="9"/>
    </row>
    <row r="52" spans="2:8" x14ac:dyDescent="0.25">
      <c r="B52" s="2"/>
      <c r="C52" s="9"/>
      <c r="D52" s="31"/>
      <c r="E52" s="3"/>
      <c r="G52" s="9"/>
      <c r="H52" s="9"/>
    </row>
    <row r="53" spans="2:8" x14ac:dyDescent="0.25">
      <c r="B53" s="2"/>
      <c r="C53" s="9"/>
      <c r="D53" s="31"/>
      <c r="E53" s="3"/>
      <c r="G53" s="9"/>
      <c r="H53" s="9"/>
    </row>
    <row r="54" spans="2:8" x14ac:dyDescent="0.25">
      <c r="B54" s="2"/>
      <c r="C54" s="9"/>
      <c r="D54" s="31"/>
      <c r="E54" s="3"/>
      <c r="G54" s="9"/>
      <c r="H54" s="9"/>
    </row>
    <row r="55" spans="2:8" x14ac:dyDescent="0.25">
      <c r="B55" s="2"/>
      <c r="C55" s="9"/>
      <c r="D55" s="31"/>
      <c r="E55" s="3"/>
      <c r="G55" s="9"/>
      <c r="H55" s="9"/>
    </row>
    <row r="56" spans="2:8" x14ac:dyDescent="0.25">
      <c r="B56" s="2"/>
      <c r="C56" s="9"/>
      <c r="D56" s="31"/>
      <c r="E56" s="3"/>
      <c r="G56" s="9"/>
      <c r="H56" s="9"/>
    </row>
    <row r="57" spans="2:8" x14ac:dyDescent="0.25">
      <c r="B57" s="2"/>
      <c r="C57" s="9"/>
      <c r="D57" s="31"/>
      <c r="E57" s="3"/>
      <c r="G57" s="9"/>
      <c r="H57" s="9"/>
    </row>
    <row r="58" spans="2:8" x14ac:dyDescent="0.25">
      <c r="B58" s="2"/>
      <c r="C58" s="9"/>
      <c r="D58" s="31"/>
      <c r="E58" s="3"/>
      <c r="G58" s="9"/>
      <c r="H58" s="9"/>
    </row>
    <row r="59" spans="2:8" x14ac:dyDescent="0.25">
      <c r="B59" s="2"/>
      <c r="C59" s="9"/>
      <c r="D59" s="31"/>
      <c r="E59" s="3"/>
      <c r="G59" s="9"/>
      <c r="H59" s="9"/>
    </row>
    <row r="60" spans="2:8" x14ac:dyDescent="0.25">
      <c r="B60" s="2"/>
      <c r="C60" s="9"/>
      <c r="D60" s="31"/>
      <c r="E60" s="3"/>
      <c r="G60" s="9"/>
      <c r="H60" s="9"/>
    </row>
    <row r="61" spans="2:8" x14ac:dyDescent="0.25">
      <c r="B61" s="2"/>
      <c r="C61" s="9"/>
      <c r="D61" s="31"/>
      <c r="E61" s="3"/>
      <c r="G61" s="9"/>
      <c r="H61" s="9"/>
    </row>
    <row r="62" spans="2:8" x14ac:dyDescent="0.25">
      <c r="B62" s="2"/>
      <c r="C62" s="9"/>
      <c r="D62" s="31"/>
      <c r="E62" s="3"/>
      <c r="G62" s="9"/>
      <c r="H62" s="9"/>
    </row>
    <row r="63" spans="2:8" x14ac:dyDescent="0.25">
      <c r="B63" s="2"/>
      <c r="C63" s="9"/>
      <c r="D63" s="31"/>
      <c r="E63" s="3"/>
      <c r="G63" s="9"/>
      <c r="H63" s="9"/>
    </row>
    <row r="64" spans="2:8" x14ac:dyDescent="0.25">
      <c r="B64" s="2"/>
      <c r="C64" s="9"/>
      <c r="D64" s="31"/>
      <c r="E64" s="3"/>
      <c r="G64" s="9"/>
      <c r="H64" s="9"/>
    </row>
    <row r="65" spans="2:8" x14ac:dyDescent="0.25">
      <c r="B65" s="2"/>
      <c r="C65" s="9"/>
      <c r="D65" s="31"/>
      <c r="E65" s="3"/>
      <c r="G65" s="9"/>
      <c r="H65" s="9"/>
    </row>
    <row r="66" spans="2:8" x14ac:dyDescent="0.25">
      <c r="B66" s="2"/>
      <c r="C66" s="9"/>
      <c r="D66" s="31"/>
      <c r="E66" s="3"/>
      <c r="G66" s="9"/>
      <c r="H66" s="9"/>
    </row>
    <row r="67" spans="2:8" x14ac:dyDescent="0.25">
      <c r="B67" s="2"/>
      <c r="C67" s="9"/>
      <c r="D67" s="31"/>
      <c r="E67" s="3"/>
      <c r="G67" s="9"/>
      <c r="H67" s="9"/>
    </row>
    <row r="68" spans="2:8" x14ac:dyDescent="0.25">
      <c r="B68" s="2"/>
      <c r="C68" s="9"/>
      <c r="D68" s="31"/>
      <c r="E68" s="3"/>
      <c r="G68" s="9"/>
      <c r="H68" s="9"/>
    </row>
    <row r="69" spans="2:8" x14ac:dyDescent="0.25">
      <c r="B69" s="2"/>
      <c r="C69" s="9"/>
      <c r="D69" s="31"/>
      <c r="E69" s="3"/>
      <c r="G69" s="9"/>
      <c r="H69" s="9"/>
    </row>
    <row r="70" spans="2:8" x14ac:dyDescent="0.25">
      <c r="B70" s="2"/>
      <c r="C70" s="9"/>
      <c r="D70" s="31"/>
      <c r="E70" s="3"/>
      <c r="G70" s="9"/>
      <c r="H70" s="9"/>
    </row>
    <row r="71" spans="2:8" x14ac:dyDescent="0.25">
      <c r="B71" s="2"/>
      <c r="C71" s="9"/>
      <c r="D71" s="31"/>
      <c r="E71" s="3"/>
      <c r="G71" s="9"/>
      <c r="H71" s="9"/>
    </row>
    <row r="72" spans="2:8" x14ac:dyDescent="0.25">
      <c r="B72" s="2"/>
      <c r="C72" s="9"/>
      <c r="D72" s="31"/>
      <c r="E72" s="3"/>
      <c r="G72" s="9"/>
      <c r="H72" s="9"/>
    </row>
    <row r="73" spans="2:8" x14ac:dyDescent="0.25">
      <c r="B73" s="2"/>
      <c r="C73" s="9"/>
      <c r="D73" s="31"/>
      <c r="E73" s="3"/>
      <c r="G73" s="9"/>
      <c r="H73" s="9"/>
    </row>
    <row r="74" spans="2:8" x14ac:dyDescent="0.25">
      <c r="B74" s="2"/>
      <c r="C74" s="9"/>
      <c r="D74" s="31"/>
      <c r="E74" s="3"/>
      <c r="G74" s="9"/>
      <c r="H74" s="9"/>
    </row>
    <row r="75" spans="2:8" x14ac:dyDescent="0.25">
      <c r="B75" s="2"/>
      <c r="C75" s="9"/>
      <c r="D75" s="31"/>
      <c r="E75" s="3"/>
      <c r="G75" s="9"/>
      <c r="H75" s="9"/>
    </row>
    <row r="76" spans="2:8" x14ac:dyDescent="0.25">
      <c r="B76" s="2"/>
      <c r="C76" s="9"/>
      <c r="D76" s="31"/>
      <c r="E76" s="3"/>
      <c r="G76" s="9"/>
      <c r="H76" s="9"/>
    </row>
    <row r="77" spans="2:8" x14ac:dyDescent="0.25">
      <c r="B77" s="2"/>
      <c r="C77" s="9"/>
      <c r="D77" s="31"/>
      <c r="E77" s="3"/>
      <c r="G77" s="9"/>
      <c r="H77" s="9"/>
    </row>
    <row r="78" spans="2:8" x14ac:dyDescent="0.25">
      <c r="B78" s="2"/>
      <c r="C78" s="9"/>
      <c r="D78" s="31"/>
      <c r="E78" s="3"/>
      <c r="G78" s="9"/>
      <c r="H78" s="9"/>
    </row>
    <row r="79" spans="2:8" x14ac:dyDescent="0.25">
      <c r="B79" s="2"/>
      <c r="C79" s="9"/>
      <c r="D79" s="31"/>
      <c r="E79" s="3"/>
      <c r="G79" s="9"/>
      <c r="H79" s="9"/>
    </row>
    <row r="80" spans="2:8" x14ac:dyDescent="0.25">
      <c r="B80" s="2"/>
      <c r="C80" s="9"/>
      <c r="D80" s="31"/>
      <c r="E80" s="3"/>
      <c r="G80" s="9"/>
      <c r="H80" s="9"/>
    </row>
    <row r="81" spans="2:8" x14ac:dyDescent="0.25">
      <c r="B81" s="2"/>
      <c r="C81" s="9"/>
      <c r="D81" s="31"/>
      <c r="E81" s="3"/>
      <c r="G81" s="9"/>
      <c r="H81" s="9"/>
    </row>
    <row r="82" spans="2:8" x14ac:dyDescent="0.25">
      <c r="B82" s="2"/>
      <c r="C82" s="9"/>
      <c r="D82" s="31"/>
      <c r="E82" s="3"/>
      <c r="G82" s="9"/>
      <c r="H82" s="9"/>
    </row>
    <row r="83" spans="2:8" x14ac:dyDescent="0.25">
      <c r="B83" s="2"/>
      <c r="C83" s="9"/>
      <c r="D83" s="31"/>
      <c r="E83" s="3"/>
      <c r="G83" s="9"/>
      <c r="H83" s="9"/>
    </row>
    <row r="84" spans="2:8" x14ac:dyDescent="0.25">
      <c r="B84" s="2"/>
      <c r="C84" s="9"/>
      <c r="D84" s="31"/>
      <c r="E84" s="3"/>
      <c r="G84" s="9"/>
      <c r="H84" s="9"/>
    </row>
    <row r="85" spans="2:8" x14ac:dyDescent="0.25">
      <c r="B85" s="2"/>
      <c r="C85" s="9"/>
      <c r="D85" s="31"/>
      <c r="E85" s="3"/>
      <c r="G85" s="9"/>
      <c r="H85" s="9"/>
    </row>
    <row r="86" spans="2:8" x14ac:dyDescent="0.25">
      <c r="B86" s="2"/>
      <c r="C86" s="9"/>
      <c r="D86" s="31"/>
      <c r="E86" s="3"/>
      <c r="G86" s="9"/>
      <c r="H86" s="9"/>
    </row>
    <row r="87" spans="2:8" x14ac:dyDescent="0.25">
      <c r="B87" s="2"/>
      <c r="C87" s="9"/>
      <c r="D87" s="31"/>
      <c r="E87" s="3"/>
      <c r="G87" s="9"/>
      <c r="H87" s="9"/>
    </row>
    <row r="88" spans="2:8" x14ac:dyDescent="0.25">
      <c r="B88" s="2"/>
      <c r="C88" s="9"/>
      <c r="D88" s="31"/>
      <c r="E88" s="3"/>
      <c r="G88" s="9"/>
      <c r="H88" s="9"/>
    </row>
    <row r="89" spans="2:8" x14ac:dyDescent="0.25">
      <c r="B89" s="2"/>
      <c r="C89" s="9"/>
      <c r="D89" s="31"/>
      <c r="E89" s="3"/>
      <c r="G89" s="9"/>
      <c r="H89" s="9"/>
    </row>
    <row r="90" spans="2:8" x14ac:dyDescent="0.25">
      <c r="B90" s="2"/>
      <c r="C90" s="9"/>
      <c r="D90" s="31"/>
      <c r="E90" s="3"/>
      <c r="G90" s="9"/>
      <c r="H90" s="9"/>
    </row>
    <row r="91" spans="2:8" x14ac:dyDescent="0.25">
      <c r="B91" s="2"/>
      <c r="C91" s="9"/>
      <c r="D91" s="31"/>
      <c r="E91" s="3"/>
      <c r="G91" s="9"/>
      <c r="H91" s="9"/>
    </row>
    <row r="92" spans="2:8" x14ac:dyDescent="0.25">
      <c r="B92" s="2"/>
      <c r="C92" s="9"/>
      <c r="D92" s="31"/>
      <c r="E92" s="3"/>
      <c r="G92" s="9"/>
      <c r="H92" s="9"/>
    </row>
    <row r="93" spans="2:8" x14ac:dyDescent="0.25">
      <c r="B93" s="2"/>
      <c r="C93" s="9"/>
      <c r="D93" s="31"/>
      <c r="E93" s="3"/>
      <c r="G93" s="9"/>
      <c r="H93" s="9"/>
    </row>
    <row r="94" spans="2:8" x14ac:dyDescent="0.25">
      <c r="B94" s="2"/>
      <c r="C94" s="9"/>
      <c r="D94" s="31"/>
      <c r="E94" s="3"/>
      <c r="G94" s="9"/>
      <c r="H94" s="9"/>
    </row>
    <row r="95" spans="2:8" x14ac:dyDescent="0.25">
      <c r="B95" s="2"/>
      <c r="C95" s="9"/>
      <c r="D95" s="31"/>
      <c r="E95" s="3"/>
      <c r="G95" s="9"/>
      <c r="H95" s="9"/>
    </row>
    <row r="96" spans="2:8" x14ac:dyDescent="0.25">
      <c r="B96" s="2"/>
      <c r="C96" s="9"/>
      <c r="D96" s="31"/>
      <c r="E96" s="3"/>
      <c r="G96" s="9"/>
      <c r="H96" s="9"/>
    </row>
    <row r="97" spans="2:8" x14ac:dyDescent="0.25">
      <c r="B97" s="2"/>
      <c r="C97" s="9"/>
      <c r="D97" s="31"/>
      <c r="E97" s="3"/>
      <c r="G97" s="9"/>
      <c r="H97" s="9"/>
    </row>
    <row r="98" spans="2:8" x14ac:dyDescent="0.25">
      <c r="B98" s="2"/>
      <c r="C98" s="9"/>
      <c r="D98" s="31"/>
      <c r="E98" s="3"/>
      <c r="G98" s="9"/>
      <c r="H98" s="9"/>
    </row>
    <row r="99" spans="2:8" x14ac:dyDescent="0.25">
      <c r="B99" s="2"/>
      <c r="C99" s="9"/>
      <c r="D99" s="31"/>
      <c r="E99" s="3"/>
      <c r="G99" s="9"/>
      <c r="H99" s="9"/>
    </row>
    <row r="100" spans="2:8" x14ac:dyDescent="0.25">
      <c r="B100" s="2"/>
      <c r="C100" s="9"/>
      <c r="D100" s="31"/>
      <c r="E100" s="3"/>
      <c r="G100" s="9"/>
      <c r="H100" s="9"/>
    </row>
    <row r="101" spans="2:8" x14ac:dyDescent="0.25">
      <c r="B101" s="2"/>
      <c r="C101" s="9"/>
      <c r="D101" s="31"/>
      <c r="E101" s="3"/>
      <c r="G101" s="9"/>
      <c r="H101" s="9"/>
    </row>
    <row r="102" spans="2:8" x14ac:dyDescent="0.25">
      <c r="B102" s="2"/>
      <c r="C102" s="9"/>
      <c r="D102" s="31"/>
      <c r="E102" s="3"/>
      <c r="G102" s="9"/>
      <c r="H102" s="9"/>
    </row>
    <row r="103" spans="2:8" x14ac:dyDescent="0.25">
      <c r="B103" s="2"/>
      <c r="C103" s="9"/>
      <c r="D103" s="31"/>
      <c r="E103" s="3"/>
      <c r="G103" s="9"/>
      <c r="H103" s="9"/>
    </row>
    <row r="104" spans="2:8" x14ac:dyDescent="0.25">
      <c r="B104" s="2"/>
      <c r="C104" s="9"/>
      <c r="D104" s="31"/>
      <c r="E104" s="3"/>
      <c r="G104" s="9"/>
      <c r="H104" s="9"/>
    </row>
    <row r="105" spans="2:8" x14ac:dyDescent="0.25">
      <c r="B105" s="2"/>
      <c r="C105" s="9"/>
      <c r="D105" s="31"/>
      <c r="E105" s="3"/>
      <c r="G105" s="9"/>
      <c r="H105" s="9"/>
    </row>
    <row r="106" spans="2:8" x14ac:dyDescent="0.25">
      <c r="B106" s="2"/>
      <c r="C106" s="9"/>
      <c r="D106" s="31"/>
      <c r="E106" s="3"/>
      <c r="G106" s="9"/>
      <c r="H106" s="9"/>
    </row>
    <row r="107" spans="2:8" x14ac:dyDescent="0.25">
      <c r="B107" s="2"/>
      <c r="C107" s="9"/>
      <c r="D107" s="31"/>
      <c r="E107" s="3"/>
      <c r="G107" s="9"/>
      <c r="H107" s="9"/>
    </row>
    <row r="108" spans="2:8" x14ac:dyDescent="0.25">
      <c r="B108" s="2"/>
      <c r="C108" s="9"/>
      <c r="D108" s="31"/>
      <c r="E108" s="3"/>
      <c r="G108" s="9"/>
      <c r="H108" s="9"/>
    </row>
    <row r="109" spans="2:8" x14ac:dyDescent="0.25">
      <c r="B109" s="2"/>
      <c r="C109" s="9"/>
      <c r="D109" s="31"/>
      <c r="E109" s="3"/>
      <c r="G109" s="9"/>
      <c r="H109" s="9"/>
    </row>
    <row r="110" spans="2:8" x14ac:dyDescent="0.25">
      <c r="B110" s="2"/>
      <c r="C110" s="9"/>
      <c r="D110" s="31"/>
      <c r="E110" s="3"/>
      <c r="G110" s="9"/>
      <c r="H110" s="9"/>
    </row>
    <row r="111" spans="2:8" x14ac:dyDescent="0.25">
      <c r="B111" s="2"/>
      <c r="C111" s="9"/>
      <c r="D111" s="31"/>
      <c r="E111" s="3"/>
      <c r="G111" s="9"/>
      <c r="H111" s="9"/>
    </row>
    <row r="112" spans="2:8" x14ac:dyDescent="0.25">
      <c r="B112" s="2"/>
      <c r="C112" s="9"/>
      <c r="D112" s="31"/>
      <c r="E112" s="3"/>
      <c r="G112" s="9"/>
      <c r="H112" s="9"/>
    </row>
    <row r="113" spans="1:8" x14ac:dyDescent="0.25">
      <c r="A113" s="7"/>
      <c r="B113" s="8"/>
      <c r="C113" s="10"/>
      <c r="D113" s="31"/>
      <c r="E113" s="3"/>
      <c r="G113" s="9"/>
      <c r="H113" s="9"/>
    </row>
    <row r="114" spans="1:8" x14ac:dyDescent="0.25">
      <c r="A114" s="7"/>
      <c r="B114" s="8"/>
      <c r="C114" s="10"/>
      <c r="D114" s="31"/>
      <c r="E114" s="3"/>
      <c r="G114" s="9"/>
      <c r="H114" s="9"/>
    </row>
    <row r="115" spans="1:8" x14ac:dyDescent="0.25">
      <c r="A115" s="7"/>
      <c r="B115" s="8"/>
      <c r="C115" s="10"/>
      <c r="D115" s="31"/>
      <c r="E115" s="3"/>
      <c r="G115" s="9"/>
      <c r="H115" s="9"/>
    </row>
    <row r="116" spans="1:8" x14ac:dyDescent="0.25">
      <c r="A116" s="7"/>
      <c r="B116" s="8"/>
      <c r="C116" s="10"/>
      <c r="D116" s="31"/>
      <c r="E116" s="3"/>
      <c r="G116" s="9"/>
      <c r="H116" s="9"/>
    </row>
    <row r="117" spans="1:8" x14ac:dyDescent="0.25">
      <c r="A117" s="7"/>
      <c r="B117" s="8"/>
      <c r="C117" s="10"/>
      <c r="D117" s="31"/>
      <c r="E117" s="3"/>
      <c r="G117" s="9"/>
      <c r="H117" s="9"/>
    </row>
    <row r="118" spans="1:8" x14ac:dyDescent="0.25">
      <c r="A118" s="7"/>
      <c r="B118" s="8"/>
      <c r="C118" s="10"/>
      <c r="D118" s="31"/>
      <c r="E118" s="3"/>
      <c r="G118" s="9"/>
      <c r="H118" s="9"/>
    </row>
    <row r="119" spans="1:8" x14ac:dyDescent="0.25">
      <c r="B119" s="2"/>
      <c r="C119" s="9"/>
      <c r="D119" s="31"/>
      <c r="E119" s="3"/>
      <c r="G119" s="9"/>
      <c r="H119" s="9"/>
    </row>
    <row r="120" spans="1:8" x14ac:dyDescent="0.25">
      <c r="B120" s="2"/>
      <c r="C120" s="9"/>
      <c r="D120" s="31"/>
      <c r="E120" s="3"/>
      <c r="G120" s="9"/>
      <c r="H120" s="9"/>
    </row>
    <row r="121" spans="1:8" x14ac:dyDescent="0.25">
      <c r="B121" s="2"/>
      <c r="C121" s="9"/>
      <c r="D121" s="31"/>
      <c r="E121" s="3"/>
      <c r="G121" s="9"/>
      <c r="H121" s="9"/>
    </row>
    <row r="122" spans="1:8" x14ac:dyDescent="0.25">
      <c r="B122" s="2"/>
      <c r="C122" s="9"/>
      <c r="D122" s="31"/>
      <c r="E122" s="3"/>
      <c r="G122" s="9"/>
      <c r="H122" s="9"/>
    </row>
    <row r="123" spans="1:8" x14ac:dyDescent="0.25">
      <c r="B123" s="2"/>
      <c r="C123" s="9"/>
      <c r="D123" s="31"/>
      <c r="E123" s="3"/>
      <c r="G123" s="9"/>
      <c r="H123" s="9"/>
    </row>
    <row r="124" spans="1:8" x14ac:dyDescent="0.25">
      <c r="B124" s="2"/>
      <c r="C124" s="9"/>
      <c r="D124" s="31"/>
      <c r="E124" s="3"/>
      <c r="G124" s="9"/>
      <c r="H124" s="9"/>
    </row>
    <row r="125" spans="1:8" x14ac:dyDescent="0.25">
      <c r="B125" s="2"/>
      <c r="C125" s="9"/>
      <c r="D125" s="31"/>
      <c r="E125" s="3"/>
      <c r="G125" s="9"/>
      <c r="H125" s="9"/>
    </row>
    <row r="126" spans="1:8" x14ac:dyDescent="0.25">
      <c r="B126" s="2"/>
      <c r="C126" s="9"/>
      <c r="D126" s="31"/>
      <c r="E126" s="3"/>
      <c r="G126" s="9"/>
      <c r="H126" s="9"/>
    </row>
    <row r="127" spans="1:8" x14ac:dyDescent="0.25">
      <c r="B127" s="2"/>
      <c r="C127" s="9"/>
      <c r="D127" s="31"/>
      <c r="E127" s="3"/>
      <c r="G127" s="9"/>
      <c r="H127" s="9"/>
    </row>
    <row r="128" spans="1:8" x14ac:dyDescent="0.25">
      <c r="B128" s="2"/>
      <c r="C128" s="9"/>
      <c r="D128" s="31"/>
      <c r="E128" s="3"/>
      <c r="G128" s="9"/>
      <c r="H128" s="9"/>
    </row>
    <row r="129" spans="2:8" x14ac:dyDescent="0.25">
      <c r="B129" s="2"/>
      <c r="C129" s="9"/>
      <c r="D129" s="31"/>
      <c r="E129" s="3"/>
      <c r="G129" s="9"/>
      <c r="H129" s="9"/>
    </row>
    <row r="130" spans="2:8" x14ac:dyDescent="0.25">
      <c r="B130" s="2"/>
      <c r="C130" s="9"/>
      <c r="D130" s="31"/>
      <c r="E130" s="3"/>
      <c r="G130" s="9"/>
      <c r="H130" s="9"/>
    </row>
    <row r="131" spans="2:8" x14ac:dyDescent="0.25">
      <c r="B131" s="2"/>
      <c r="C131" s="9"/>
      <c r="D131" s="31"/>
      <c r="E131" s="3"/>
      <c r="G131" s="9"/>
      <c r="H131" s="9"/>
    </row>
    <row r="132" spans="2:8" x14ac:dyDescent="0.25">
      <c r="B132" s="2"/>
      <c r="C132" s="9"/>
      <c r="D132" s="31"/>
      <c r="E132" s="3"/>
      <c r="G132" s="9"/>
      <c r="H132" s="9"/>
    </row>
    <row r="133" spans="2:8" x14ac:dyDescent="0.25">
      <c r="B133" s="2"/>
      <c r="C133" s="9"/>
      <c r="D133" s="31"/>
      <c r="E133" s="3"/>
      <c r="G133" s="9"/>
      <c r="H133" s="9"/>
    </row>
    <row r="134" spans="2:8" x14ac:dyDescent="0.25">
      <c r="B134" s="2"/>
      <c r="C134" s="9"/>
      <c r="D134" s="31"/>
      <c r="E134" s="3"/>
      <c r="G134" s="9"/>
      <c r="H134" s="9"/>
    </row>
    <row r="135" spans="2:8" x14ac:dyDescent="0.25">
      <c r="B135" s="2"/>
      <c r="C135" s="9"/>
      <c r="D135" s="31"/>
      <c r="E135" s="3"/>
      <c r="G135" s="9"/>
      <c r="H135" s="9"/>
    </row>
    <row r="136" spans="2:8" x14ac:dyDescent="0.25">
      <c r="B136" s="2"/>
      <c r="C136" s="9"/>
      <c r="D136" s="31"/>
      <c r="E136" s="3"/>
      <c r="G136" s="9"/>
      <c r="H136" s="9"/>
    </row>
    <row r="137" spans="2:8" x14ac:dyDescent="0.25">
      <c r="B137" s="2"/>
      <c r="C137" s="9"/>
      <c r="D137" s="31"/>
      <c r="E137" s="3"/>
      <c r="G137" s="9"/>
      <c r="H137" s="9"/>
    </row>
    <row r="138" spans="2:8" x14ac:dyDescent="0.25">
      <c r="B138" s="2"/>
      <c r="C138" s="9"/>
      <c r="D138" s="31"/>
      <c r="E138" s="3"/>
      <c r="G138" s="9"/>
      <c r="H138" s="9"/>
    </row>
    <row r="139" spans="2:8" x14ac:dyDescent="0.25">
      <c r="B139" s="2"/>
      <c r="C139" s="9"/>
      <c r="D139" s="31"/>
      <c r="E139" s="3"/>
      <c r="G139" s="9"/>
      <c r="H139" s="9"/>
    </row>
    <row r="140" spans="2:8" x14ac:dyDescent="0.25">
      <c r="B140" s="2"/>
      <c r="C140" s="9"/>
      <c r="D140" s="31"/>
      <c r="E140" s="3"/>
      <c r="G140" s="9"/>
      <c r="H140" s="9"/>
    </row>
    <row r="141" spans="2:8" x14ac:dyDescent="0.25">
      <c r="B141" s="2"/>
      <c r="C141" s="9"/>
      <c r="D141" s="31"/>
      <c r="E141" s="3"/>
      <c r="G141" s="9"/>
      <c r="H141" s="9"/>
    </row>
    <row r="142" spans="2:8" x14ac:dyDescent="0.25">
      <c r="B142" s="2"/>
      <c r="C142" s="9"/>
      <c r="D142" s="31"/>
      <c r="E142" s="3"/>
      <c r="G142" s="9"/>
      <c r="H142" s="9"/>
    </row>
    <row r="143" spans="2:8" x14ac:dyDescent="0.25">
      <c r="B143" s="2"/>
      <c r="C143" s="9"/>
      <c r="D143" s="31"/>
      <c r="E143" s="3"/>
      <c r="G143" s="9"/>
      <c r="H143" s="9"/>
    </row>
    <row r="144" spans="2:8" x14ac:dyDescent="0.25">
      <c r="B144" s="2"/>
      <c r="C144" s="9"/>
      <c r="D144" s="31"/>
      <c r="E144" s="3"/>
      <c r="G144" s="9"/>
      <c r="H144" s="9"/>
    </row>
    <row r="145" spans="2:8" x14ac:dyDescent="0.25">
      <c r="B145" s="2"/>
      <c r="C145" s="9"/>
      <c r="D145" s="31"/>
      <c r="E145" s="3"/>
      <c r="G145" s="9"/>
      <c r="H145" s="9"/>
    </row>
    <row r="146" spans="2:8" x14ac:dyDescent="0.25">
      <c r="B146" s="2"/>
      <c r="C146" s="9"/>
      <c r="D146" s="31"/>
      <c r="E146" s="3"/>
      <c r="G146" s="9"/>
      <c r="H146" s="9"/>
    </row>
    <row r="147" spans="2:8" x14ac:dyDescent="0.25">
      <c r="B147" s="2"/>
      <c r="C147" s="9"/>
      <c r="D147" s="31"/>
      <c r="E147" s="3"/>
      <c r="G147" s="9"/>
      <c r="H147" s="9"/>
    </row>
    <row r="148" spans="2:8" x14ac:dyDescent="0.25">
      <c r="B148" s="2"/>
      <c r="C148" s="9"/>
      <c r="D148" s="31"/>
      <c r="E148" s="3"/>
      <c r="G148" s="9"/>
      <c r="H148" s="9"/>
    </row>
    <row r="149" spans="2:8" x14ac:dyDescent="0.25">
      <c r="B149" s="2"/>
      <c r="C149" s="9"/>
      <c r="D149" s="31"/>
      <c r="E149" s="3"/>
      <c r="G149" s="9"/>
      <c r="H149" s="9"/>
    </row>
    <row r="150" spans="2:8" x14ac:dyDescent="0.25">
      <c r="B150" s="2"/>
      <c r="C150" s="9"/>
      <c r="D150" s="31"/>
      <c r="E150" s="3"/>
      <c r="G150" s="9"/>
      <c r="H150" s="9"/>
    </row>
    <row r="151" spans="2:8" x14ac:dyDescent="0.25">
      <c r="B151" s="2"/>
      <c r="C151" s="9"/>
      <c r="D151" s="31"/>
      <c r="E151" s="3"/>
      <c r="G151" s="9"/>
      <c r="H151" s="9"/>
    </row>
    <row r="152" spans="2:8" x14ac:dyDescent="0.25">
      <c r="B152" s="2"/>
      <c r="C152" s="9"/>
      <c r="D152" s="31"/>
      <c r="E152" s="3"/>
      <c r="G152" s="9"/>
      <c r="H152" s="9"/>
    </row>
    <row r="153" spans="2:8" x14ac:dyDescent="0.25">
      <c r="B153" s="2"/>
      <c r="C153" s="9"/>
      <c r="D153" s="31"/>
      <c r="E153" s="3"/>
      <c r="G153" s="9"/>
      <c r="H153" s="9"/>
    </row>
    <row r="154" spans="2:8" x14ac:dyDescent="0.25">
      <c r="B154" s="2"/>
      <c r="C154" s="9"/>
      <c r="D154" s="31"/>
      <c r="E154" s="3"/>
      <c r="G154" s="9"/>
      <c r="H154" s="9"/>
    </row>
    <row r="155" spans="2:8" x14ac:dyDescent="0.25">
      <c r="B155" s="2"/>
      <c r="C155" s="9"/>
      <c r="D155" s="31"/>
      <c r="E155" s="3"/>
      <c r="G155" s="9"/>
      <c r="H155" s="9"/>
    </row>
    <row r="156" spans="2:8" x14ac:dyDescent="0.25">
      <c r="B156" s="2"/>
      <c r="C156" s="9"/>
      <c r="D156" s="31"/>
      <c r="E156" s="3"/>
      <c r="G156" s="9"/>
      <c r="H156" s="9"/>
    </row>
    <row r="157" spans="2:8" x14ac:dyDescent="0.25">
      <c r="B157" s="2"/>
      <c r="C157" s="9"/>
      <c r="D157" s="31"/>
      <c r="E157" s="3"/>
      <c r="G157" s="9"/>
      <c r="H157" s="9"/>
    </row>
    <row r="158" spans="2:8" x14ac:dyDescent="0.25">
      <c r="B158" s="2"/>
      <c r="C158" s="9"/>
      <c r="D158" s="31"/>
      <c r="E158" s="3"/>
      <c r="G158" s="9"/>
      <c r="H158" s="9"/>
    </row>
    <row r="159" spans="2:8" x14ac:dyDescent="0.25">
      <c r="B159" s="2"/>
      <c r="C159" s="9"/>
      <c r="D159" s="31"/>
      <c r="E159" s="3"/>
      <c r="G159" s="9"/>
      <c r="H159" s="9"/>
    </row>
    <row r="160" spans="2:8" x14ac:dyDescent="0.25">
      <c r="B160" s="2"/>
      <c r="C160" s="9"/>
      <c r="D160" s="31"/>
      <c r="E160" s="3"/>
      <c r="G160" s="9"/>
      <c r="H160" s="9"/>
    </row>
    <row r="161" spans="2:8" x14ac:dyDescent="0.25">
      <c r="B161" s="2"/>
      <c r="C161" s="9"/>
      <c r="D161" s="31"/>
      <c r="E161" s="3"/>
      <c r="G161" s="9"/>
      <c r="H161" s="9"/>
    </row>
    <row r="162" spans="2:8" x14ac:dyDescent="0.25">
      <c r="B162" s="2"/>
      <c r="C162" s="9"/>
      <c r="D162" s="31"/>
      <c r="E162" s="3"/>
      <c r="G162" s="9"/>
      <c r="H162" s="9"/>
    </row>
    <row r="163" spans="2:8" x14ac:dyDescent="0.25">
      <c r="B163" s="2"/>
      <c r="C163" s="9"/>
      <c r="D163" s="31"/>
      <c r="E163" s="3"/>
      <c r="G163" s="9"/>
      <c r="H163" s="9"/>
    </row>
    <row r="164" spans="2:8" x14ac:dyDescent="0.25">
      <c r="B164" s="2"/>
      <c r="C164" s="9"/>
      <c r="D164" s="31"/>
      <c r="E164" s="3"/>
      <c r="G164" s="9"/>
      <c r="H164" s="9"/>
    </row>
    <row r="165" spans="2:8" x14ac:dyDescent="0.25">
      <c r="B165" s="2"/>
      <c r="C165" s="9"/>
      <c r="D165" s="31"/>
      <c r="E165" s="3"/>
      <c r="G165" s="9"/>
      <c r="H165" s="9"/>
    </row>
    <row r="166" spans="2:8" x14ac:dyDescent="0.25">
      <c r="B166" s="2"/>
      <c r="C166" s="9"/>
      <c r="D166" s="31"/>
      <c r="E166" s="3"/>
      <c r="G166" s="9"/>
      <c r="H166" s="9"/>
    </row>
    <row r="167" spans="2:8" x14ac:dyDescent="0.25">
      <c r="B167" s="2"/>
      <c r="C167" s="9"/>
      <c r="D167" s="31"/>
      <c r="E167" s="3"/>
      <c r="G167" s="9"/>
      <c r="H167" s="9"/>
    </row>
    <row r="168" spans="2:8" x14ac:dyDescent="0.25">
      <c r="B168" s="2"/>
      <c r="C168" s="9"/>
      <c r="D168" s="31"/>
      <c r="E168" s="3"/>
      <c r="G168" s="9"/>
      <c r="H168" s="9"/>
    </row>
    <row r="169" spans="2:8" x14ac:dyDescent="0.25">
      <c r="B169" s="2"/>
      <c r="C169" s="9"/>
      <c r="D169" s="31"/>
      <c r="E169" s="3"/>
      <c r="G169" s="9"/>
      <c r="H169" s="9"/>
    </row>
    <row r="170" spans="2:8" x14ac:dyDescent="0.25">
      <c r="B170" s="2"/>
      <c r="C170" s="9"/>
      <c r="D170" s="31"/>
      <c r="E170" s="3"/>
      <c r="G170" s="9"/>
      <c r="H170" s="9"/>
    </row>
    <row r="171" spans="2:8" x14ac:dyDescent="0.25">
      <c r="B171" s="2"/>
      <c r="C171" s="9"/>
      <c r="D171" s="31"/>
      <c r="E171" s="3"/>
      <c r="G171" s="9"/>
      <c r="H171" s="9"/>
    </row>
    <row r="172" spans="2:8" x14ac:dyDescent="0.25">
      <c r="B172" s="2"/>
      <c r="C172" s="9"/>
      <c r="D172" s="31"/>
      <c r="E172" s="3"/>
      <c r="G172" s="9"/>
      <c r="H172" s="9"/>
    </row>
    <row r="173" spans="2:8" x14ac:dyDescent="0.25">
      <c r="B173" s="2"/>
      <c r="C173" s="9"/>
      <c r="D173" s="31"/>
      <c r="E173" s="3"/>
      <c r="G173" s="9"/>
      <c r="H173" s="9"/>
    </row>
    <row r="174" spans="2:8" x14ac:dyDescent="0.25">
      <c r="B174" s="2"/>
      <c r="C174" s="9"/>
      <c r="D174" s="31"/>
      <c r="E174" s="3"/>
      <c r="G174" s="9"/>
      <c r="H174" s="9"/>
    </row>
    <row r="175" spans="2:8" x14ac:dyDescent="0.25">
      <c r="B175" s="2"/>
      <c r="C175" s="9"/>
      <c r="D175" s="31"/>
      <c r="E175" s="3"/>
      <c r="G175" s="9"/>
      <c r="H175" s="9"/>
    </row>
    <row r="176" spans="2:8" x14ac:dyDescent="0.25">
      <c r="B176" s="2"/>
      <c r="C176" s="9"/>
      <c r="D176" s="31"/>
      <c r="E176" s="3"/>
      <c r="G176" s="9"/>
      <c r="H176" s="9"/>
    </row>
    <row r="177" spans="2:8" x14ac:dyDescent="0.25">
      <c r="B177" s="2"/>
      <c r="C177" s="9"/>
      <c r="D177" s="31"/>
      <c r="E177" s="3"/>
      <c r="G177" s="9"/>
      <c r="H177" s="9"/>
    </row>
    <row r="178" spans="2:8" x14ac:dyDescent="0.25">
      <c r="B178" s="2"/>
      <c r="C178" s="9"/>
      <c r="D178" s="31"/>
      <c r="E178" s="3"/>
      <c r="G178" s="9"/>
      <c r="H178" s="9"/>
    </row>
    <row r="179" spans="2:8" x14ac:dyDescent="0.25">
      <c r="B179" s="2"/>
      <c r="C179" s="9"/>
      <c r="D179" s="31"/>
      <c r="E179" s="3"/>
      <c r="G179" s="9"/>
      <c r="H179" s="9"/>
    </row>
    <row r="180" spans="2:8" x14ac:dyDescent="0.25">
      <c r="B180" s="2"/>
      <c r="C180" s="9"/>
      <c r="D180" s="31"/>
      <c r="E180" s="3"/>
      <c r="G180" s="9"/>
      <c r="H180" s="9"/>
    </row>
    <row r="181" spans="2:8" x14ac:dyDescent="0.25">
      <c r="B181" s="2"/>
      <c r="C181" s="9"/>
      <c r="D181" s="31"/>
      <c r="E181" s="3"/>
      <c r="G181" s="9"/>
      <c r="H181" s="9"/>
    </row>
    <row r="182" spans="2:8" x14ac:dyDescent="0.25">
      <c r="B182" s="2"/>
      <c r="C182" s="9"/>
      <c r="D182" s="31"/>
      <c r="E182" s="3"/>
      <c r="G182" s="9"/>
      <c r="H182" s="9"/>
    </row>
    <row r="183" spans="2:8" x14ac:dyDescent="0.25">
      <c r="B183" s="2"/>
      <c r="C183" s="9"/>
      <c r="D183" s="31"/>
      <c r="E183" s="3"/>
      <c r="G183" s="9"/>
      <c r="H183" s="9"/>
    </row>
    <row r="184" spans="2:8" x14ac:dyDescent="0.25">
      <c r="B184" s="2"/>
      <c r="C184" s="9"/>
      <c r="D184" s="31"/>
      <c r="E184" s="3"/>
      <c r="G184" s="9"/>
      <c r="H184" s="9"/>
    </row>
    <row r="185" spans="2:8" x14ac:dyDescent="0.25">
      <c r="B185" s="2"/>
      <c r="C185" s="9"/>
      <c r="D185" s="31"/>
      <c r="E185" s="3"/>
      <c r="G185" s="9"/>
      <c r="H185" s="9"/>
    </row>
    <row r="186" spans="2:8" x14ac:dyDescent="0.25">
      <c r="B186" s="2"/>
      <c r="C186" s="9"/>
      <c r="D186" s="31"/>
      <c r="E186" s="3"/>
      <c r="G186" s="9"/>
      <c r="H186" s="9"/>
    </row>
    <row r="187" spans="2:8" x14ac:dyDescent="0.25">
      <c r="B187" s="2"/>
      <c r="C187" s="9"/>
      <c r="D187" s="31"/>
      <c r="E187" s="3"/>
      <c r="G187" s="9"/>
      <c r="H187" s="9"/>
    </row>
    <row r="188" spans="2:8" x14ac:dyDescent="0.25">
      <c r="B188" s="2"/>
      <c r="C188" s="9"/>
      <c r="D188" s="31"/>
      <c r="E188" s="3"/>
      <c r="G188" s="9"/>
      <c r="H188" s="9"/>
    </row>
    <row r="189" spans="2:8" x14ac:dyDescent="0.25">
      <c r="B189" s="2"/>
      <c r="C189" s="9"/>
      <c r="D189" s="31"/>
      <c r="E189" s="3"/>
      <c r="G189" s="9"/>
      <c r="H189" s="9"/>
    </row>
    <row r="190" spans="2:8" x14ac:dyDescent="0.25">
      <c r="B190" s="2"/>
      <c r="C190" s="9"/>
      <c r="D190" s="31"/>
      <c r="E190" s="3"/>
      <c r="G190" s="9"/>
      <c r="H190" s="9"/>
    </row>
    <row r="191" spans="2:8" x14ac:dyDescent="0.25">
      <c r="B191" s="2"/>
      <c r="C191" s="9"/>
      <c r="D191" s="31"/>
      <c r="E191" s="3"/>
      <c r="G191" s="9"/>
      <c r="H191" s="9"/>
    </row>
    <row r="192" spans="2:8" x14ac:dyDescent="0.25">
      <c r="B192" s="2"/>
      <c r="C192" s="9"/>
      <c r="D192" s="31"/>
      <c r="E192" s="3"/>
      <c r="G192" s="9"/>
      <c r="H192" s="9"/>
    </row>
    <row r="193" spans="2:8" x14ac:dyDescent="0.25">
      <c r="B193" s="2"/>
      <c r="C193" s="9"/>
      <c r="D193" s="31"/>
      <c r="E193" s="3"/>
      <c r="G193" s="9"/>
      <c r="H193" s="9"/>
    </row>
    <row r="194" spans="2:8" x14ac:dyDescent="0.25">
      <c r="B194" s="2"/>
      <c r="C194" s="9"/>
      <c r="D194" s="31"/>
      <c r="E194" s="3"/>
      <c r="G194" s="9"/>
      <c r="H194" s="9"/>
    </row>
    <row r="195" spans="2:8" x14ac:dyDescent="0.25">
      <c r="B195" s="2"/>
      <c r="C195" s="9"/>
      <c r="D195" s="31"/>
      <c r="E195" s="3"/>
      <c r="G195" s="9"/>
      <c r="H195" s="9"/>
    </row>
    <row r="196" spans="2:8" x14ac:dyDescent="0.25">
      <c r="B196" s="2"/>
      <c r="C196" s="9"/>
      <c r="D196" s="31"/>
      <c r="E196" s="3"/>
      <c r="G196" s="9"/>
      <c r="H196" s="9"/>
    </row>
    <row r="197" spans="2:8" x14ac:dyDescent="0.25">
      <c r="B197" s="2"/>
      <c r="C197" s="9"/>
      <c r="D197" s="31"/>
      <c r="E197" s="3"/>
      <c r="G197" s="9"/>
      <c r="H197" s="9"/>
    </row>
    <row r="198" spans="2:8" x14ac:dyDescent="0.25">
      <c r="B198" s="2"/>
      <c r="C198" s="9"/>
      <c r="D198" s="31"/>
      <c r="E198" s="3"/>
      <c r="G198" s="9"/>
      <c r="H198" s="9"/>
    </row>
    <row r="199" spans="2:8" x14ac:dyDescent="0.25">
      <c r="B199" s="2"/>
      <c r="C199" s="9"/>
      <c r="D199" s="31"/>
      <c r="E199" s="3"/>
      <c r="G199" s="9"/>
      <c r="H199" s="9"/>
    </row>
    <row r="200" spans="2:8" x14ac:dyDescent="0.25">
      <c r="B200" s="2"/>
      <c r="C200" s="9"/>
      <c r="D200" s="31"/>
      <c r="E200" s="3"/>
      <c r="G200" s="9"/>
      <c r="H200" s="9"/>
    </row>
    <row r="201" spans="2:8" x14ac:dyDescent="0.25">
      <c r="B201" s="2"/>
      <c r="C201" s="9"/>
      <c r="D201" s="31"/>
      <c r="E201" s="3"/>
      <c r="G201" s="9"/>
      <c r="H201" s="9"/>
    </row>
    <row r="202" spans="2:8" x14ac:dyDescent="0.25">
      <c r="B202" s="2"/>
      <c r="C202" s="9"/>
      <c r="D202" s="31"/>
      <c r="E202" s="3"/>
      <c r="G202" s="9"/>
      <c r="H202" s="9"/>
    </row>
    <row r="203" spans="2:8" x14ac:dyDescent="0.25">
      <c r="B203" s="2"/>
      <c r="C203" s="9"/>
      <c r="D203" s="31"/>
      <c r="E203" s="3"/>
      <c r="G203" s="9"/>
      <c r="H203" s="9"/>
    </row>
    <row r="204" spans="2:8" x14ac:dyDescent="0.25">
      <c r="B204" s="2"/>
      <c r="C204" s="9"/>
      <c r="D204" s="31"/>
      <c r="E204" s="3"/>
      <c r="G204" s="9"/>
      <c r="H204" s="9"/>
    </row>
    <row r="205" spans="2:8" x14ac:dyDescent="0.25">
      <c r="B205" s="2"/>
      <c r="C205" s="9"/>
      <c r="D205" s="31"/>
      <c r="E205" s="3"/>
      <c r="G205" s="9"/>
      <c r="H205" s="9"/>
    </row>
    <row r="206" spans="2:8" x14ac:dyDescent="0.25">
      <c r="B206" s="2"/>
      <c r="C206" s="9"/>
      <c r="D206" s="31"/>
      <c r="E206" s="3"/>
      <c r="G206" s="9"/>
      <c r="H206" s="9"/>
    </row>
    <row r="207" spans="2:8" x14ac:dyDescent="0.25">
      <c r="B207" s="2"/>
      <c r="C207" s="9"/>
      <c r="D207" s="31"/>
      <c r="E207" s="3"/>
      <c r="G207" s="9"/>
      <c r="H207" s="9"/>
    </row>
    <row r="208" spans="2:8" x14ac:dyDescent="0.25">
      <c r="B208" s="2"/>
      <c r="C208" s="9"/>
      <c r="D208" s="31"/>
      <c r="E208" s="3"/>
      <c r="G208" s="9"/>
      <c r="H208" s="9"/>
    </row>
    <row r="209" spans="2:8" x14ac:dyDescent="0.25">
      <c r="B209" s="2"/>
      <c r="C209" s="9"/>
      <c r="D209" s="31"/>
      <c r="E209" s="3"/>
      <c r="G209" s="9"/>
      <c r="H209" s="9"/>
    </row>
    <row r="210" spans="2:8" x14ac:dyDescent="0.25">
      <c r="B210" s="2"/>
      <c r="C210" s="9"/>
      <c r="D210" s="31"/>
      <c r="E210" s="3"/>
      <c r="G210" s="9"/>
      <c r="H210" s="9"/>
    </row>
    <row r="211" spans="2:8" x14ac:dyDescent="0.25">
      <c r="B211" s="2"/>
      <c r="C211" s="9"/>
      <c r="D211" s="31"/>
      <c r="E211" s="3"/>
      <c r="G211" s="9"/>
      <c r="H211" s="9"/>
    </row>
    <row r="212" spans="2:8" x14ac:dyDescent="0.25">
      <c r="B212" s="2"/>
      <c r="C212" s="9"/>
      <c r="D212" s="31"/>
      <c r="E212" s="3"/>
      <c r="G212" s="9"/>
      <c r="H212" s="9"/>
    </row>
    <row r="213" spans="2:8" x14ac:dyDescent="0.25">
      <c r="B213" s="2"/>
      <c r="C213" s="9"/>
      <c r="D213" s="31"/>
      <c r="E213" s="3"/>
      <c r="G213" s="9"/>
      <c r="H213" s="9"/>
    </row>
    <row r="214" spans="2:8" x14ac:dyDescent="0.25">
      <c r="B214" s="2"/>
      <c r="C214" s="9"/>
      <c r="D214" s="31"/>
      <c r="E214" s="3"/>
      <c r="G214" s="9"/>
      <c r="H214" s="9"/>
    </row>
    <row r="215" spans="2:8" x14ac:dyDescent="0.25">
      <c r="B215" s="2"/>
      <c r="C215" s="9"/>
      <c r="D215" s="31"/>
      <c r="E215" s="3"/>
      <c r="G215" s="9"/>
      <c r="H215" s="9"/>
    </row>
    <row r="216" spans="2:8" x14ac:dyDescent="0.25">
      <c r="B216" s="2"/>
      <c r="C216" s="9"/>
      <c r="D216" s="31"/>
      <c r="E216" s="3"/>
      <c r="G216" s="9"/>
      <c r="H216" s="9"/>
    </row>
    <row r="217" spans="2:8" x14ac:dyDescent="0.25">
      <c r="B217" s="2"/>
      <c r="C217" s="9"/>
      <c r="D217" s="31"/>
      <c r="E217" s="3"/>
      <c r="G217" s="9"/>
      <c r="H217" s="9"/>
    </row>
    <row r="218" spans="2:8" x14ac:dyDescent="0.25">
      <c r="B218" s="2"/>
      <c r="C218" s="9"/>
      <c r="D218" s="31"/>
      <c r="E218" s="3"/>
      <c r="G218" s="9"/>
      <c r="H218" s="9"/>
    </row>
    <row r="219" spans="2:8" x14ac:dyDescent="0.25">
      <c r="B219" s="2"/>
      <c r="C219" s="9"/>
      <c r="D219" s="31"/>
      <c r="E219" s="3"/>
      <c r="G219" s="9"/>
      <c r="H219" s="9"/>
    </row>
    <row r="220" spans="2:8" x14ac:dyDescent="0.25">
      <c r="B220" s="2"/>
      <c r="C220" s="9"/>
      <c r="D220" s="31"/>
      <c r="E220" s="3"/>
      <c r="G220" s="9"/>
      <c r="H220" s="9"/>
    </row>
    <row r="221" spans="2:8" x14ac:dyDescent="0.25">
      <c r="B221" s="2"/>
      <c r="C221" s="9"/>
      <c r="D221" s="31"/>
      <c r="E221" s="3"/>
      <c r="G221" s="9"/>
      <c r="H221" s="9"/>
    </row>
    <row r="222" spans="2:8" x14ac:dyDescent="0.25">
      <c r="B222" s="2"/>
      <c r="C222" s="9"/>
      <c r="D222" s="31"/>
      <c r="E222" s="3"/>
      <c r="G222" s="9"/>
      <c r="H222" s="9"/>
    </row>
    <row r="223" spans="2:8" x14ac:dyDescent="0.25">
      <c r="B223" s="2"/>
      <c r="C223" s="9"/>
      <c r="D223" s="31"/>
      <c r="E223" s="3"/>
      <c r="G223" s="9"/>
      <c r="H223" s="9"/>
    </row>
    <row r="224" spans="2:8" x14ac:dyDescent="0.25">
      <c r="B224" s="2"/>
      <c r="C224" s="9"/>
      <c r="D224" s="31"/>
      <c r="E224" s="3"/>
      <c r="G224" s="9"/>
      <c r="H224" s="9"/>
    </row>
    <row r="225" spans="2:8" x14ac:dyDescent="0.25">
      <c r="B225" s="2"/>
      <c r="C225" s="9"/>
      <c r="D225" s="31"/>
      <c r="E225" s="3"/>
      <c r="G225" s="9"/>
      <c r="H225" s="9"/>
    </row>
    <row r="226" spans="2:8" x14ac:dyDescent="0.25">
      <c r="B226" s="2"/>
      <c r="C226" s="9"/>
      <c r="D226" s="31"/>
      <c r="E226" s="3"/>
      <c r="G226" s="9"/>
      <c r="H226" s="9"/>
    </row>
    <row r="227" spans="2:8" x14ac:dyDescent="0.25">
      <c r="B227" s="2"/>
      <c r="C227" s="9"/>
      <c r="D227" s="31"/>
      <c r="E227" s="3"/>
      <c r="G227" s="9"/>
      <c r="H227" s="9"/>
    </row>
    <row r="228" spans="2:8" x14ac:dyDescent="0.25">
      <c r="B228" s="2"/>
      <c r="C228" s="9"/>
      <c r="D228" s="31"/>
      <c r="E228" s="3"/>
      <c r="G228" s="9"/>
      <c r="H228" s="9"/>
    </row>
    <row r="229" spans="2:8" x14ac:dyDescent="0.25">
      <c r="B229" s="2"/>
      <c r="C229" s="9"/>
      <c r="D229" s="31"/>
      <c r="E229" s="3"/>
      <c r="G229" s="9"/>
      <c r="H229" s="9"/>
    </row>
    <row r="230" spans="2:8" x14ac:dyDescent="0.25">
      <c r="B230" s="2"/>
      <c r="C230" s="9"/>
      <c r="D230" s="31"/>
      <c r="E230" s="3"/>
      <c r="G230" s="9"/>
      <c r="H230" s="9"/>
    </row>
    <row r="231" spans="2:8" x14ac:dyDescent="0.25">
      <c r="B231" s="2"/>
      <c r="C231" s="9"/>
      <c r="D231" s="31"/>
      <c r="E231" s="3"/>
      <c r="G231" s="9"/>
      <c r="H231" s="9"/>
    </row>
    <row r="232" spans="2:8" x14ac:dyDescent="0.25">
      <c r="B232" s="2"/>
      <c r="C232" s="9"/>
      <c r="D232" s="31"/>
      <c r="E232" s="3"/>
      <c r="G232" s="9"/>
      <c r="H232" s="9"/>
    </row>
    <row r="233" spans="2:8" x14ac:dyDescent="0.25">
      <c r="B233" s="2"/>
      <c r="C233" s="9"/>
      <c r="D233" s="31"/>
      <c r="E233" s="3"/>
      <c r="G233" s="9"/>
      <c r="H233" s="9"/>
    </row>
    <row r="234" spans="2:8" x14ac:dyDescent="0.25">
      <c r="B234" s="2"/>
      <c r="C234" s="9"/>
      <c r="D234" s="31"/>
      <c r="E234" s="3"/>
      <c r="G234" s="9"/>
      <c r="H234" s="9"/>
    </row>
    <row r="235" spans="2:8" x14ac:dyDescent="0.25">
      <c r="B235" s="2"/>
      <c r="C235" s="9"/>
      <c r="D235" s="31"/>
      <c r="E235" s="3"/>
      <c r="G235" s="9"/>
      <c r="H235" s="9"/>
    </row>
    <row r="236" spans="2:8" x14ac:dyDescent="0.25">
      <c r="B236" s="2"/>
      <c r="C236" s="9"/>
      <c r="D236" s="31"/>
      <c r="E236" s="3"/>
      <c r="G236" s="9"/>
      <c r="H236" s="9"/>
    </row>
    <row r="237" spans="2:8" x14ac:dyDescent="0.25">
      <c r="B237" s="2"/>
      <c r="C237" s="9"/>
      <c r="D237" s="31"/>
      <c r="E237" s="3"/>
      <c r="G237" s="9"/>
      <c r="H237" s="9"/>
    </row>
    <row r="238" spans="2:8" x14ac:dyDescent="0.25">
      <c r="B238" s="2"/>
      <c r="C238" s="9"/>
      <c r="D238" s="31"/>
      <c r="E238" s="3"/>
      <c r="G238" s="9"/>
      <c r="H238" s="9"/>
    </row>
    <row r="239" spans="2:8" x14ac:dyDescent="0.25">
      <c r="B239" s="2"/>
      <c r="C239" s="9"/>
      <c r="D239" s="31"/>
      <c r="E239" s="3"/>
      <c r="G239" s="9"/>
      <c r="H239" s="9"/>
    </row>
    <row r="240" spans="2:8" x14ac:dyDescent="0.25">
      <c r="B240" s="2"/>
      <c r="C240" s="9"/>
      <c r="D240" s="31"/>
      <c r="E240" s="3"/>
      <c r="G240" s="9"/>
      <c r="H240" s="9"/>
    </row>
    <row r="241" spans="2:8" x14ac:dyDescent="0.25">
      <c r="B241" s="2"/>
      <c r="C241" s="9"/>
      <c r="D241" s="31"/>
      <c r="E241" s="3"/>
      <c r="G241" s="9"/>
      <c r="H241" s="9"/>
    </row>
    <row r="242" spans="2:8" x14ac:dyDescent="0.25">
      <c r="B242" s="2"/>
      <c r="C242" s="9"/>
      <c r="D242" s="31"/>
      <c r="E242" s="3"/>
      <c r="G242" s="9"/>
      <c r="H242" s="9"/>
    </row>
    <row r="243" spans="2:8" x14ac:dyDescent="0.25">
      <c r="B243" s="2"/>
      <c r="C243" s="9"/>
      <c r="D243" s="31"/>
      <c r="E243" s="3"/>
      <c r="G243" s="9"/>
      <c r="H243" s="9"/>
    </row>
    <row r="244" spans="2:8" x14ac:dyDescent="0.25">
      <c r="B244" s="2"/>
      <c r="C244" s="9"/>
      <c r="D244" s="31"/>
      <c r="E244" s="3"/>
      <c r="G244" s="9"/>
      <c r="H244" s="9"/>
    </row>
    <row r="245" spans="2:8" x14ac:dyDescent="0.25">
      <c r="B245" s="2"/>
      <c r="C245" s="9"/>
      <c r="D245" s="31"/>
      <c r="E245" s="3"/>
      <c r="G245" s="9"/>
      <c r="H245" s="9"/>
    </row>
    <row r="246" spans="2:8" x14ac:dyDescent="0.25">
      <c r="B246" s="2"/>
      <c r="C246" s="9"/>
      <c r="D246" s="31"/>
      <c r="E246" s="3"/>
      <c r="G246" s="9"/>
      <c r="H246" s="9"/>
    </row>
    <row r="247" spans="2:8" x14ac:dyDescent="0.25">
      <c r="B247" s="2"/>
      <c r="C247" s="9"/>
      <c r="D247" s="31"/>
      <c r="E247" s="3"/>
      <c r="G247" s="9"/>
      <c r="H247" s="9"/>
    </row>
    <row r="248" spans="2:8" x14ac:dyDescent="0.25">
      <c r="B248" s="2"/>
      <c r="C248" s="9"/>
      <c r="D248" s="31"/>
      <c r="E248" s="3"/>
      <c r="G248" s="9"/>
      <c r="H248" s="9"/>
    </row>
    <row r="249" spans="2:8" x14ac:dyDescent="0.25">
      <c r="B249" s="2"/>
      <c r="C249" s="9"/>
      <c r="D249" s="31"/>
      <c r="E249" s="3"/>
      <c r="G249" s="9"/>
      <c r="H249" s="9"/>
    </row>
    <row r="250" spans="2:8" x14ac:dyDescent="0.25">
      <c r="B250" s="2"/>
      <c r="C250" s="9"/>
      <c r="D250" s="31"/>
      <c r="E250" s="3"/>
      <c r="G250" s="9"/>
      <c r="H250" s="9"/>
    </row>
    <row r="251" spans="2:8" x14ac:dyDescent="0.25">
      <c r="B251" s="2"/>
      <c r="C251" s="9"/>
      <c r="D251" s="31"/>
      <c r="E251" s="3"/>
      <c r="G251" s="9"/>
      <c r="H251" s="9"/>
    </row>
    <row r="252" spans="2:8" x14ac:dyDescent="0.25">
      <c r="B252" s="2"/>
      <c r="C252" s="9"/>
      <c r="D252" s="31"/>
      <c r="E252" s="3"/>
      <c r="G252" s="9"/>
      <c r="H252" s="9"/>
    </row>
    <row r="253" spans="2:8" x14ac:dyDescent="0.25">
      <c r="B253" s="2"/>
      <c r="C253" s="9"/>
      <c r="D253" s="31"/>
      <c r="E253" s="3"/>
      <c r="G253" s="9"/>
      <c r="H253" s="9"/>
    </row>
    <row r="254" spans="2:8" x14ac:dyDescent="0.25">
      <c r="B254" s="2"/>
      <c r="C254" s="9"/>
      <c r="D254" s="31"/>
      <c r="E254" s="3"/>
      <c r="G254" s="9"/>
      <c r="H254" s="9"/>
    </row>
    <row r="255" spans="2:8" x14ac:dyDescent="0.25">
      <c r="B255" s="2"/>
      <c r="C255" s="9"/>
      <c r="D255" s="31"/>
      <c r="E255" s="3"/>
      <c r="G255" s="9"/>
      <c r="H255" s="9"/>
    </row>
    <row r="256" spans="2:8" x14ac:dyDescent="0.25">
      <c r="B256" s="2"/>
      <c r="C256" s="9"/>
      <c r="D256" s="31"/>
      <c r="E256" s="3"/>
      <c r="G256" s="9"/>
      <c r="H256" s="9"/>
    </row>
    <row r="257" spans="2:8" x14ac:dyDescent="0.25">
      <c r="B257" s="2"/>
      <c r="C257" s="9"/>
      <c r="D257" s="31"/>
      <c r="E257" s="3"/>
      <c r="G257" s="9"/>
      <c r="H257" s="9"/>
    </row>
    <row r="258" spans="2:8" x14ac:dyDescent="0.25">
      <c r="B258" s="2"/>
      <c r="C258" s="9"/>
      <c r="D258" s="31"/>
      <c r="E258" s="3"/>
      <c r="G258" s="9"/>
      <c r="H258" s="9"/>
    </row>
    <row r="259" spans="2:8" x14ac:dyDescent="0.25">
      <c r="B259" s="2"/>
      <c r="C259" s="9"/>
      <c r="D259" s="31"/>
      <c r="E259" s="3"/>
      <c r="G259" s="9"/>
      <c r="H259" s="9"/>
    </row>
    <row r="260" spans="2:8" x14ac:dyDescent="0.25">
      <c r="B260" s="2"/>
      <c r="C260" s="9"/>
      <c r="D260" s="31"/>
      <c r="E260" s="3"/>
      <c r="G260" s="9"/>
      <c r="H260" s="9"/>
    </row>
    <row r="261" spans="2:8" x14ac:dyDescent="0.25">
      <c r="B261" s="2"/>
      <c r="C261" s="9"/>
      <c r="D261" s="31"/>
      <c r="E261" s="3"/>
      <c r="G261" s="9"/>
      <c r="H261" s="9"/>
    </row>
    <row r="262" spans="2:8" x14ac:dyDescent="0.25">
      <c r="B262" s="2"/>
      <c r="C262" s="9"/>
      <c r="D262" s="31"/>
      <c r="E262" s="3"/>
      <c r="G262" s="9"/>
      <c r="H262" s="9"/>
    </row>
    <row r="263" spans="2:8" x14ac:dyDescent="0.25">
      <c r="B263" s="2"/>
      <c r="C263" s="9"/>
      <c r="D263" s="31"/>
      <c r="E263" s="3"/>
      <c r="G263" s="9"/>
      <c r="H263" s="9"/>
    </row>
    <row r="264" spans="2:8" x14ac:dyDescent="0.25">
      <c r="B264" s="2"/>
      <c r="C264" s="9"/>
      <c r="D264" s="31"/>
      <c r="E264" s="3"/>
      <c r="G264" s="9"/>
      <c r="H264" s="9"/>
    </row>
    <row r="265" spans="2:8" x14ac:dyDescent="0.25">
      <c r="B265" s="2"/>
      <c r="C265" s="9"/>
      <c r="D265" s="31"/>
      <c r="E265" s="3"/>
      <c r="G265" s="9"/>
      <c r="H265" s="9"/>
    </row>
    <row r="266" spans="2:8" x14ac:dyDescent="0.25">
      <c r="B266" s="2"/>
      <c r="C266" s="9"/>
      <c r="D266" s="31"/>
      <c r="E266" s="3"/>
      <c r="G266" s="9"/>
      <c r="H266" s="9"/>
    </row>
    <row r="267" spans="2:8" x14ac:dyDescent="0.25">
      <c r="B267" s="2"/>
      <c r="C267" s="9"/>
      <c r="D267" s="31"/>
      <c r="E267" s="3"/>
      <c r="G267" s="9"/>
      <c r="H267" s="9"/>
    </row>
    <row r="268" spans="2:8" x14ac:dyDescent="0.25">
      <c r="B268" s="2"/>
      <c r="C268" s="9"/>
      <c r="D268" s="31"/>
      <c r="E268" s="3"/>
      <c r="G268" s="9"/>
      <c r="H268" s="9"/>
    </row>
    <row r="269" spans="2:8" x14ac:dyDescent="0.25">
      <c r="B269" s="2"/>
      <c r="C269" s="9"/>
      <c r="D269" s="31"/>
      <c r="E269" s="3"/>
      <c r="G269" s="9"/>
      <c r="H269" s="9"/>
    </row>
    <row r="270" spans="2:8" x14ac:dyDescent="0.25">
      <c r="B270" s="2"/>
      <c r="C270" s="9"/>
      <c r="D270" s="31"/>
      <c r="E270" s="3"/>
      <c r="G270" s="9"/>
      <c r="H270" s="9"/>
    </row>
    <row r="271" spans="2:8" x14ac:dyDescent="0.25">
      <c r="B271" s="2"/>
      <c r="C271" s="9"/>
      <c r="D271" s="31"/>
      <c r="E271" s="3"/>
      <c r="G271" s="9"/>
      <c r="H271" s="9"/>
    </row>
    <row r="272" spans="2:8" x14ac:dyDescent="0.25">
      <c r="B272" s="2"/>
      <c r="C272" s="9"/>
      <c r="D272" s="31"/>
      <c r="E272" s="3"/>
      <c r="G272" s="9"/>
      <c r="H272" s="9"/>
    </row>
    <row r="273" spans="2:8" x14ac:dyDescent="0.25">
      <c r="B273" s="2"/>
      <c r="C273" s="9"/>
      <c r="D273" s="31"/>
      <c r="E273" s="3"/>
      <c r="G273" s="9"/>
      <c r="H273" s="9"/>
    </row>
    <row r="274" spans="2:8" x14ac:dyDescent="0.25">
      <c r="B274" s="2"/>
      <c r="C274" s="9"/>
      <c r="D274" s="31"/>
      <c r="E274" s="3"/>
      <c r="G274" s="9"/>
      <c r="H274" s="9"/>
    </row>
    <row r="275" spans="2:8" x14ac:dyDescent="0.25">
      <c r="B275" s="2"/>
      <c r="C275" s="9"/>
      <c r="D275" s="31"/>
      <c r="E275" s="3"/>
      <c r="G275" s="9"/>
      <c r="H275" s="9"/>
    </row>
    <row r="276" spans="2:8" x14ac:dyDescent="0.25">
      <c r="B276" s="2"/>
      <c r="C276" s="9"/>
      <c r="D276" s="31"/>
      <c r="E276" s="3"/>
      <c r="G276" s="9"/>
      <c r="H276" s="9"/>
    </row>
    <row r="277" spans="2:8" x14ac:dyDescent="0.25">
      <c r="B277" s="2"/>
      <c r="C277" s="9"/>
      <c r="D277" s="31"/>
      <c r="E277" s="3"/>
      <c r="G277" s="9"/>
      <c r="H277" s="9"/>
    </row>
    <row r="278" spans="2:8" x14ac:dyDescent="0.25">
      <c r="B278" s="2"/>
      <c r="C278" s="9"/>
      <c r="D278" s="31"/>
      <c r="E278" s="3"/>
      <c r="G278" s="9"/>
      <c r="H278" s="9"/>
    </row>
    <row r="279" spans="2:8" x14ac:dyDescent="0.25">
      <c r="B279" s="2"/>
      <c r="C279" s="9"/>
      <c r="D279" s="31"/>
      <c r="E279" s="3"/>
      <c r="G279" s="9"/>
      <c r="H279" s="9"/>
    </row>
    <row r="280" spans="2:8" x14ac:dyDescent="0.25">
      <c r="B280" s="2"/>
      <c r="C280" s="9"/>
      <c r="D280" s="31"/>
      <c r="E280" s="3"/>
      <c r="G280" s="9"/>
      <c r="H280" s="9"/>
    </row>
    <row r="281" spans="2:8" x14ac:dyDescent="0.25">
      <c r="B281" s="2"/>
      <c r="C281" s="9"/>
      <c r="D281" s="31"/>
      <c r="E281" s="3"/>
      <c r="G281" s="9"/>
      <c r="H281" s="9"/>
    </row>
    <row r="282" spans="2:8" x14ac:dyDescent="0.25">
      <c r="B282" s="2"/>
      <c r="C282" s="9"/>
      <c r="D282" s="31"/>
      <c r="E282" s="3"/>
      <c r="G282" s="9"/>
      <c r="H282" s="9"/>
    </row>
    <row r="283" spans="2:8" x14ac:dyDescent="0.25">
      <c r="B283" s="2"/>
      <c r="C283" s="9"/>
      <c r="D283" s="31"/>
      <c r="E283" s="3"/>
      <c r="G283" s="9"/>
      <c r="H283" s="9"/>
    </row>
    <row r="284" spans="2:8" x14ac:dyDescent="0.25">
      <c r="B284" s="2"/>
      <c r="C284" s="9"/>
      <c r="D284" s="31"/>
      <c r="E284" s="3"/>
      <c r="G284" s="9"/>
      <c r="H284" s="9"/>
    </row>
    <row r="285" spans="2:8" x14ac:dyDescent="0.25">
      <c r="B285" s="2"/>
      <c r="C285" s="9"/>
      <c r="D285" s="31"/>
      <c r="E285" s="3"/>
      <c r="G285" s="9"/>
      <c r="H285" s="9"/>
    </row>
    <row r="286" spans="2:8" x14ac:dyDescent="0.25">
      <c r="B286" s="2"/>
      <c r="C286" s="9"/>
      <c r="D286" s="31"/>
      <c r="E286" s="3"/>
      <c r="G286" s="9"/>
      <c r="H286" s="9"/>
    </row>
    <row r="287" spans="2:8" x14ac:dyDescent="0.25">
      <c r="B287" s="2"/>
      <c r="C287" s="9"/>
      <c r="D287" s="31"/>
      <c r="E287" s="3"/>
      <c r="G287" s="9"/>
      <c r="H287" s="9"/>
    </row>
    <row r="288" spans="2:8" x14ac:dyDescent="0.25">
      <c r="B288" s="2"/>
      <c r="C288" s="9"/>
      <c r="D288" s="31"/>
      <c r="E288" s="3"/>
      <c r="G288" s="9"/>
      <c r="H288" s="9"/>
    </row>
    <row r="289" spans="2:8" x14ac:dyDescent="0.25">
      <c r="B289" s="2"/>
      <c r="C289" s="9"/>
      <c r="D289" s="31"/>
      <c r="E289" s="3"/>
      <c r="G289" s="9"/>
      <c r="H289" s="9"/>
    </row>
    <row r="290" spans="2:8" x14ac:dyDescent="0.25">
      <c r="B290" s="2"/>
      <c r="C290" s="9"/>
      <c r="D290" s="31"/>
      <c r="E290" s="3"/>
      <c r="G290" s="9"/>
      <c r="H290" s="9"/>
    </row>
    <row r="291" spans="2:8" x14ac:dyDescent="0.25">
      <c r="B291" s="2"/>
      <c r="C291" s="9"/>
      <c r="D291" s="31"/>
      <c r="E291" s="3"/>
      <c r="G291" s="9"/>
      <c r="H291" s="9"/>
    </row>
    <row r="292" spans="2:8" x14ac:dyDescent="0.25">
      <c r="B292" s="2"/>
      <c r="C292" s="9"/>
      <c r="D292" s="31"/>
      <c r="E292" s="3"/>
      <c r="G292" s="9"/>
      <c r="H292" s="9"/>
    </row>
    <row r="293" spans="2:8" x14ac:dyDescent="0.25">
      <c r="B293" s="2"/>
      <c r="C293" s="9"/>
      <c r="D293" s="31"/>
      <c r="E293" s="3"/>
      <c r="G293" s="9"/>
      <c r="H293" s="9"/>
    </row>
    <row r="294" spans="2:8" x14ac:dyDescent="0.25">
      <c r="B294" s="2"/>
      <c r="C294" s="9"/>
      <c r="D294" s="31"/>
      <c r="E294" s="3"/>
      <c r="G294" s="9"/>
      <c r="H294" s="9"/>
    </row>
    <row r="295" spans="2:8" x14ac:dyDescent="0.25">
      <c r="B295" s="2"/>
      <c r="C295" s="9"/>
      <c r="D295" s="31"/>
      <c r="E295" s="3"/>
      <c r="G295" s="9"/>
      <c r="H295" s="9"/>
    </row>
    <row r="296" spans="2:8" x14ac:dyDescent="0.25">
      <c r="B296" s="2"/>
      <c r="C296" s="9"/>
      <c r="D296" s="31"/>
      <c r="E296" s="3"/>
      <c r="G296" s="9"/>
      <c r="H296" s="9"/>
    </row>
    <row r="297" spans="2:8" x14ac:dyDescent="0.25">
      <c r="B297" s="2"/>
      <c r="C297" s="9"/>
      <c r="D297" s="31"/>
      <c r="E297" s="3"/>
      <c r="G297" s="9"/>
      <c r="H297" s="9"/>
    </row>
    <row r="298" spans="2:8" x14ac:dyDescent="0.25">
      <c r="B298" s="2"/>
      <c r="C298" s="9"/>
      <c r="D298" s="31"/>
      <c r="E298" s="3"/>
      <c r="G298" s="9"/>
      <c r="H298" s="9"/>
    </row>
    <row r="299" spans="2:8" x14ac:dyDescent="0.25">
      <c r="B299" s="2"/>
      <c r="C299" s="9"/>
      <c r="D299" s="31"/>
      <c r="E299" s="3"/>
      <c r="G299" s="9"/>
      <c r="H299" s="9"/>
    </row>
    <row r="300" spans="2:8" x14ac:dyDescent="0.25">
      <c r="B300" s="2"/>
      <c r="C300" s="9"/>
      <c r="D300" s="31"/>
      <c r="E300" s="3"/>
      <c r="G300" s="9"/>
      <c r="H300" s="9"/>
    </row>
    <row r="301" spans="2:8" x14ac:dyDescent="0.25">
      <c r="B301" s="2"/>
      <c r="C301" s="9"/>
      <c r="D301" s="31"/>
      <c r="E301" s="3"/>
      <c r="G301" s="9"/>
      <c r="H301" s="9"/>
    </row>
    <row r="302" spans="2:8" x14ac:dyDescent="0.25">
      <c r="B302" s="2"/>
      <c r="C302" s="9"/>
      <c r="D302" s="31"/>
      <c r="E302" s="3"/>
      <c r="G302" s="9"/>
      <c r="H302" s="9"/>
    </row>
    <row r="303" spans="2:8" x14ac:dyDescent="0.25">
      <c r="B303" s="2"/>
      <c r="C303" s="9"/>
      <c r="D303" s="31"/>
      <c r="E303" s="3"/>
      <c r="G303" s="9"/>
      <c r="H303" s="9"/>
    </row>
    <row r="304" spans="2:8" x14ac:dyDescent="0.25">
      <c r="B304" s="2"/>
      <c r="C304" s="9"/>
      <c r="D304" s="31"/>
      <c r="E304" s="3"/>
      <c r="G304" s="9"/>
      <c r="H304" s="9"/>
    </row>
    <row r="305" spans="2:8" x14ac:dyDescent="0.25">
      <c r="B305" s="2"/>
      <c r="C305" s="9"/>
      <c r="D305" s="31"/>
      <c r="E305" s="3"/>
      <c r="G305" s="9"/>
      <c r="H305" s="9"/>
    </row>
    <row r="306" spans="2:8" x14ac:dyDescent="0.25">
      <c r="B306" s="2"/>
      <c r="C306" s="9"/>
      <c r="D306" s="31"/>
      <c r="E306" s="3"/>
      <c r="G306" s="9"/>
      <c r="H306" s="9"/>
    </row>
  </sheetData>
  <mergeCells count="2">
    <mergeCell ref="A7:C7"/>
    <mergeCell ref="D7:H7"/>
  </mergeCells>
  <phoneticPr fontId="7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W248"/>
  <sheetViews>
    <sheetView zoomScale="80" zoomScaleNormal="80" workbookViewId="0">
      <pane ySplit="3" topLeftCell="A4" activePane="bottomLeft" state="frozen"/>
      <selection pane="bottomLeft" activeCell="A3" sqref="A3"/>
    </sheetView>
  </sheetViews>
  <sheetFormatPr defaultRowHeight="13.2" x14ac:dyDescent="0.25"/>
  <cols>
    <col min="1" max="1" width="22.109375" bestFit="1" customWidth="1"/>
    <col min="3" max="4" width="22.109375" customWidth="1"/>
    <col min="5" max="264" width="10.109375" bestFit="1" customWidth="1"/>
    <col min="271" max="271" width="19.109375" bestFit="1" customWidth="1"/>
    <col min="272" max="272" width="20.44140625" bestFit="1" customWidth="1"/>
    <col min="273" max="273" width="11.88671875" bestFit="1" customWidth="1"/>
    <col min="274" max="274" width="10.6640625" bestFit="1" customWidth="1"/>
    <col min="275" max="275" width="12.33203125" bestFit="1" customWidth="1"/>
    <col min="276" max="276" width="12" bestFit="1" customWidth="1"/>
    <col min="277" max="277" width="12.44140625" bestFit="1" customWidth="1"/>
  </cols>
  <sheetData>
    <row r="1" spans="1:283" x14ac:dyDescent="0.25">
      <c r="A1" s="68" t="s">
        <v>67</v>
      </c>
      <c r="B1" s="69"/>
      <c r="C1" s="69"/>
    </row>
    <row r="2" spans="1:283" ht="13.8" x14ac:dyDescent="0.3">
      <c r="B2" s="18" t="s">
        <v>0</v>
      </c>
      <c r="C2" s="11" t="s">
        <v>9</v>
      </c>
      <c r="D2" s="38" t="s">
        <v>56</v>
      </c>
      <c r="E2" s="18" t="s">
        <v>51</v>
      </c>
      <c r="JK2" s="20"/>
      <c r="JL2" s="20"/>
      <c r="JM2" s="20"/>
      <c r="JN2" s="40"/>
      <c r="JO2" s="20"/>
      <c r="JP2" s="20"/>
      <c r="JQ2" s="20"/>
      <c r="JR2" s="35"/>
      <c r="JS2" s="35"/>
      <c r="JT2" s="35"/>
      <c r="JU2" s="35"/>
      <c r="JV2" s="35"/>
      <c r="JW2" s="35"/>
    </row>
    <row r="3" spans="1:283" ht="13.8" x14ac:dyDescent="0.3">
      <c r="A3" s="1" t="s">
        <v>46</v>
      </c>
      <c r="C3" s="11"/>
      <c r="D3" s="23">
        <v>0</v>
      </c>
      <c r="E3" s="23">
        <v>1</v>
      </c>
      <c r="F3" s="23">
        <v>2</v>
      </c>
      <c r="G3" s="23">
        <v>3</v>
      </c>
      <c r="H3" s="23">
        <v>4</v>
      </c>
      <c r="I3" s="23">
        <v>5</v>
      </c>
      <c r="J3" s="23">
        <v>6</v>
      </c>
      <c r="K3" s="23">
        <v>7</v>
      </c>
      <c r="L3" s="23">
        <v>8</v>
      </c>
      <c r="M3" s="23">
        <v>9</v>
      </c>
      <c r="N3" s="23">
        <v>10</v>
      </c>
      <c r="O3" s="23">
        <v>11</v>
      </c>
      <c r="P3" s="23">
        <v>12</v>
      </c>
      <c r="Q3" s="23">
        <v>13</v>
      </c>
      <c r="R3" s="23">
        <v>14</v>
      </c>
      <c r="S3" s="23">
        <v>15</v>
      </c>
      <c r="T3" s="23">
        <v>16</v>
      </c>
      <c r="U3" s="23">
        <v>17</v>
      </c>
      <c r="V3" s="23">
        <v>18</v>
      </c>
      <c r="W3" s="23">
        <v>19</v>
      </c>
      <c r="X3" s="23">
        <v>20</v>
      </c>
      <c r="Y3" s="23">
        <v>21</v>
      </c>
      <c r="Z3" s="23">
        <v>22</v>
      </c>
      <c r="AA3" s="23">
        <v>23</v>
      </c>
      <c r="AB3" s="23">
        <v>24</v>
      </c>
      <c r="AC3" s="23">
        <v>25</v>
      </c>
      <c r="AD3" s="23">
        <v>26</v>
      </c>
      <c r="AE3" s="23">
        <v>27</v>
      </c>
      <c r="AF3" s="23">
        <v>28</v>
      </c>
      <c r="AG3" s="23">
        <v>29</v>
      </c>
      <c r="AH3" s="23">
        <v>30</v>
      </c>
      <c r="AI3" s="23">
        <v>31</v>
      </c>
      <c r="AJ3" s="23">
        <v>32</v>
      </c>
      <c r="AK3" s="23">
        <v>33</v>
      </c>
      <c r="AL3" s="23">
        <v>34</v>
      </c>
      <c r="AM3" s="23">
        <v>35</v>
      </c>
      <c r="AN3" s="23">
        <v>36</v>
      </c>
      <c r="AO3" s="23">
        <v>37</v>
      </c>
      <c r="AP3" s="23">
        <v>38</v>
      </c>
      <c r="AQ3" s="23">
        <v>39</v>
      </c>
      <c r="AR3" s="23">
        <v>40</v>
      </c>
      <c r="AS3" s="23">
        <v>41</v>
      </c>
      <c r="AT3" s="23">
        <v>42</v>
      </c>
      <c r="AU3" s="23">
        <v>43</v>
      </c>
      <c r="AV3" s="23">
        <v>44</v>
      </c>
      <c r="AW3" s="23">
        <v>45</v>
      </c>
      <c r="AX3" s="23">
        <v>46</v>
      </c>
      <c r="AY3" s="23">
        <v>47</v>
      </c>
      <c r="AZ3" s="23">
        <v>48</v>
      </c>
      <c r="BA3" s="23">
        <v>49</v>
      </c>
      <c r="BB3" s="23">
        <v>50</v>
      </c>
      <c r="BC3" s="23">
        <v>51</v>
      </c>
      <c r="BD3" s="23">
        <v>52</v>
      </c>
      <c r="BE3" s="23">
        <v>53</v>
      </c>
      <c r="BF3" s="23">
        <v>54</v>
      </c>
      <c r="BG3" s="23">
        <v>55</v>
      </c>
      <c r="BH3" s="23">
        <v>56</v>
      </c>
      <c r="BI3" s="23">
        <v>57</v>
      </c>
      <c r="BJ3" s="23">
        <v>58</v>
      </c>
      <c r="BK3" s="23">
        <v>59</v>
      </c>
      <c r="BL3" s="23">
        <v>60</v>
      </c>
      <c r="BM3" s="23">
        <v>61</v>
      </c>
      <c r="BN3" s="23">
        <v>62</v>
      </c>
      <c r="BO3" s="23">
        <v>63</v>
      </c>
      <c r="BP3" s="23">
        <v>64</v>
      </c>
      <c r="BQ3" s="23">
        <v>65</v>
      </c>
      <c r="BR3" s="23">
        <v>66</v>
      </c>
      <c r="BS3" s="23">
        <v>67</v>
      </c>
      <c r="BT3" s="23">
        <v>68</v>
      </c>
      <c r="BU3" s="23">
        <v>69</v>
      </c>
      <c r="BV3" s="23">
        <v>70</v>
      </c>
      <c r="BW3" s="23">
        <v>71</v>
      </c>
      <c r="BX3" s="23">
        <v>72</v>
      </c>
      <c r="BY3" s="23">
        <v>73</v>
      </c>
      <c r="BZ3" s="23">
        <v>74</v>
      </c>
      <c r="CA3" s="23">
        <v>75</v>
      </c>
      <c r="CB3" s="23">
        <v>76</v>
      </c>
      <c r="CC3" s="23">
        <v>77</v>
      </c>
      <c r="CD3" s="23">
        <v>78</v>
      </c>
      <c r="CE3" s="23">
        <v>79</v>
      </c>
      <c r="CF3" s="23">
        <v>80</v>
      </c>
      <c r="CG3" s="23">
        <v>81</v>
      </c>
      <c r="CH3" s="23">
        <v>82</v>
      </c>
      <c r="CI3" s="23">
        <v>83</v>
      </c>
      <c r="CJ3" s="23">
        <v>84</v>
      </c>
      <c r="CK3" s="23">
        <v>85</v>
      </c>
      <c r="CL3" s="23">
        <v>86</v>
      </c>
      <c r="CM3" s="23">
        <v>87</v>
      </c>
      <c r="CN3" s="23">
        <v>88</v>
      </c>
      <c r="CO3" s="23">
        <v>89</v>
      </c>
      <c r="CP3" s="23">
        <v>90</v>
      </c>
      <c r="CQ3" s="23">
        <v>91</v>
      </c>
      <c r="CR3" s="23">
        <v>92</v>
      </c>
      <c r="CS3" s="23">
        <v>93</v>
      </c>
      <c r="CT3" s="23">
        <v>94</v>
      </c>
      <c r="CU3" s="23">
        <v>95</v>
      </c>
      <c r="CV3" s="23">
        <v>96</v>
      </c>
      <c r="CW3" s="23">
        <v>97</v>
      </c>
      <c r="CX3" s="23">
        <v>98</v>
      </c>
      <c r="CY3" s="23">
        <v>99</v>
      </c>
      <c r="CZ3" s="23">
        <v>100</v>
      </c>
      <c r="DA3" s="23">
        <v>101</v>
      </c>
      <c r="DB3" s="23">
        <v>102</v>
      </c>
      <c r="DC3" s="23">
        <v>103</v>
      </c>
      <c r="DD3" s="23">
        <v>104</v>
      </c>
      <c r="DE3" s="23">
        <v>105</v>
      </c>
      <c r="DF3" s="23">
        <v>106</v>
      </c>
      <c r="DG3" s="23">
        <v>107</v>
      </c>
      <c r="DH3" s="23">
        <v>108</v>
      </c>
      <c r="DI3" s="23">
        <v>109</v>
      </c>
      <c r="DJ3" s="23">
        <v>110</v>
      </c>
      <c r="DK3" s="23">
        <v>111</v>
      </c>
      <c r="DL3" s="23">
        <v>112</v>
      </c>
      <c r="DM3" s="23">
        <v>113</v>
      </c>
      <c r="DN3" s="23">
        <v>114</v>
      </c>
      <c r="DO3" s="23">
        <v>115</v>
      </c>
      <c r="DP3" s="23">
        <v>116</v>
      </c>
      <c r="DQ3" s="23">
        <v>117</v>
      </c>
      <c r="DR3" s="23">
        <v>118</v>
      </c>
      <c r="DS3" s="23">
        <v>119</v>
      </c>
      <c r="DT3" s="23">
        <v>120</v>
      </c>
      <c r="DU3" s="23">
        <v>121</v>
      </c>
      <c r="DV3" s="23">
        <v>122</v>
      </c>
      <c r="DW3" s="23">
        <v>123</v>
      </c>
      <c r="DX3" s="23">
        <v>124</v>
      </c>
      <c r="DY3" s="23">
        <v>125</v>
      </c>
      <c r="DZ3" s="23">
        <v>126</v>
      </c>
      <c r="EA3" s="23">
        <v>127</v>
      </c>
      <c r="EB3" s="23">
        <v>128</v>
      </c>
      <c r="EC3" s="23">
        <v>129</v>
      </c>
      <c r="ED3" s="23">
        <v>130</v>
      </c>
      <c r="EE3" s="23">
        <v>131</v>
      </c>
      <c r="EF3" s="23">
        <v>132</v>
      </c>
      <c r="EG3" s="23">
        <v>133</v>
      </c>
      <c r="EH3" s="23">
        <v>134</v>
      </c>
      <c r="EI3" s="23">
        <v>135</v>
      </c>
      <c r="EJ3" s="23">
        <v>136</v>
      </c>
      <c r="EK3" s="23">
        <v>137</v>
      </c>
      <c r="EL3" s="23">
        <v>138</v>
      </c>
      <c r="EM3" s="23">
        <v>139</v>
      </c>
      <c r="EN3" s="23">
        <v>140</v>
      </c>
      <c r="EO3" s="23">
        <v>141</v>
      </c>
      <c r="EP3" s="23">
        <v>142</v>
      </c>
      <c r="EQ3" s="23">
        <v>143</v>
      </c>
      <c r="ER3" s="23">
        <v>144</v>
      </c>
      <c r="ES3" s="23">
        <v>145</v>
      </c>
      <c r="ET3" s="23">
        <v>146</v>
      </c>
      <c r="EU3" s="23">
        <v>147</v>
      </c>
      <c r="EV3" s="23">
        <v>148</v>
      </c>
      <c r="EW3" s="23">
        <v>149</v>
      </c>
      <c r="EX3" s="23">
        <v>150</v>
      </c>
      <c r="EY3" s="23">
        <v>151</v>
      </c>
      <c r="EZ3" s="23">
        <v>152</v>
      </c>
      <c r="FA3" s="23">
        <v>153</v>
      </c>
      <c r="FB3" s="23">
        <v>154</v>
      </c>
      <c r="FC3" s="23">
        <v>155</v>
      </c>
      <c r="FD3" s="23">
        <v>156</v>
      </c>
      <c r="FE3" s="23">
        <v>157</v>
      </c>
      <c r="FF3" s="23">
        <v>158</v>
      </c>
      <c r="FG3" s="23">
        <v>159</v>
      </c>
      <c r="FH3" s="23">
        <v>160</v>
      </c>
      <c r="FI3" s="23">
        <v>161</v>
      </c>
      <c r="FJ3" s="23">
        <v>162</v>
      </c>
      <c r="FK3" s="23">
        <v>163</v>
      </c>
      <c r="FL3" s="23">
        <v>164</v>
      </c>
      <c r="FM3" s="23">
        <v>165</v>
      </c>
      <c r="FN3" s="23">
        <v>166</v>
      </c>
      <c r="FO3" s="23">
        <v>167</v>
      </c>
      <c r="FP3" s="23">
        <v>168</v>
      </c>
      <c r="FQ3" s="23">
        <v>169</v>
      </c>
      <c r="FR3" s="23">
        <v>170</v>
      </c>
      <c r="FS3" s="23">
        <v>171</v>
      </c>
      <c r="FT3" s="23">
        <v>172</v>
      </c>
      <c r="FU3" s="23">
        <v>173</v>
      </c>
      <c r="FV3" s="23">
        <v>174</v>
      </c>
      <c r="FW3" s="23">
        <v>175</v>
      </c>
      <c r="FX3" s="23">
        <v>176</v>
      </c>
      <c r="FY3" s="23">
        <v>177</v>
      </c>
      <c r="FZ3" s="23">
        <v>178</v>
      </c>
      <c r="GA3" s="23">
        <v>179</v>
      </c>
      <c r="GB3" s="23">
        <v>180</v>
      </c>
      <c r="GC3" s="23">
        <v>181</v>
      </c>
      <c r="GD3" s="23">
        <v>182</v>
      </c>
      <c r="GE3" s="23">
        <v>183</v>
      </c>
      <c r="GF3" s="23">
        <v>184</v>
      </c>
      <c r="GG3" s="23">
        <v>185</v>
      </c>
      <c r="GH3" s="23">
        <v>186</v>
      </c>
      <c r="GI3" s="23">
        <v>187</v>
      </c>
      <c r="GJ3" s="23">
        <v>188</v>
      </c>
      <c r="GK3" s="23">
        <v>189</v>
      </c>
      <c r="GL3" s="23">
        <v>190</v>
      </c>
      <c r="GM3" s="23">
        <v>191</v>
      </c>
      <c r="GN3" s="23">
        <v>192</v>
      </c>
      <c r="GO3" s="23">
        <v>193</v>
      </c>
      <c r="GP3" s="23">
        <v>194</v>
      </c>
      <c r="GQ3" s="23">
        <v>195</v>
      </c>
      <c r="GR3" s="23">
        <v>196</v>
      </c>
      <c r="GS3" s="23">
        <v>197</v>
      </c>
      <c r="GT3" s="23">
        <v>198</v>
      </c>
      <c r="GU3" s="23">
        <v>199</v>
      </c>
      <c r="GV3" s="23">
        <v>200</v>
      </c>
      <c r="GW3" s="23">
        <v>201</v>
      </c>
      <c r="GX3" s="23">
        <v>202</v>
      </c>
      <c r="GY3" s="23">
        <v>203</v>
      </c>
      <c r="GZ3" s="23">
        <v>204</v>
      </c>
      <c r="HA3" s="23">
        <v>205</v>
      </c>
      <c r="HB3" s="23">
        <v>206</v>
      </c>
      <c r="HC3" s="23">
        <v>207</v>
      </c>
      <c r="HD3" s="23">
        <v>208</v>
      </c>
      <c r="HE3" s="23">
        <v>209</v>
      </c>
      <c r="HF3" s="23">
        <v>210</v>
      </c>
      <c r="HG3" s="23">
        <v>211</v>
      </c>
      <c r="HH3" s="23">
        <v>212</v>
      </c>
      <c r="HI3" s="23">
        <v>213</v>
      </c>
      <c r="HJ3" s="23">
        <v>214</v>
      </c>
      <c r="HK3" s="23">
        <v>215</v>
      </c>
      <c r="HL3" s="23">
        <v>216</v>
      </c>
      <c r="HM3" s="23">
        <v>217</v>
      </c>
      <c r="HN3" s="23">
        <v>218</v>
      </c>
      <c r="HO3" s="23">
        <v>219</v>
      </c>
      <c r="HP3" s="23">
        <v>220</v>
      </c>
      <c r="HQ3" s="23">
        <v>221</v>
      </c>
      <c r="HR3" s="23">
        <v>222</v>
      </c>
      <c r="HS3" s="23">
        <v>223</v>
      </c>
      <c r="HT3" s="23">
        <v>224</v>
      </c>
      <c r="HU3" s="23">
        <v>225</v>
      </c>
      <c r="HV3" s="23">
        <v>226</v>
      </c>
      <c r="HW3" s="23">
        <v>227</v>
      </c>
      <c r="HX3" s="23">
        <v>228</v>
      </c>
      <c r="HY3" s="23">
        <v>229</v>
      </c>
      <c r="HZ3" s="23">
        <v>230</v>
      </c>
      <c r="IA3" s="23">
        <v>231</v>
      </c>
      <c r="IB3" s="23">
        <v>232</v>
      </c>
      <c r="IC3" s="23">
        <v>233</v>
      </c>
      <c r="ID3" s="23">
        <v>234</v>
      </c>
      <c r="IE3" s="23">
        <v>235</v>
      </c>
      <c r="IF3" s="23">
        <v>236</v>
      </c>
      <c r="IG3" s="23">
        <v>237</v>
      </c>
      <c r="IH3" s="23">
        <v>238</v>
      </c>
      <c r="II3" s="23">
        <v>239</v>
      </c>
      <c r="IJ3" s="23">
        <v>240</v>
      </c>
      <c r="IK3" s="23">
        <v>241</v>
      </c>
      <c r="IL3" s="23">
        <v>242</v>
      </c>
      <c r="IM3" s="23">
        <v>243</v>
      </c>
      <c r="IN3" s="23">
        <v>244</v>
      </c>
      <c r="IO3" s="23">
        <v>245</v>
      </c>
      <c r="IP3" s="23">
        <v>246</v>
      </c>
      <c r="IQ3" s="23">
        <v>247</v>
      </c>
      <c r="IR3" s="23">
        <v>248</v>
      </c>
      <c r="IS3" s="23">
        <v>249</v>
      </c>
      <c r="IT3" s="23">
        <v>250</v>
      </c>
      <c r="IU3" s="23">
        <v>251</v>
      </c>
      <c r="IV3" s="23">
        <v>252</v>
      </c>
      <c r="IW3" s="23">
        <v>253</v>
      </c>
      <c r="IX3" s="23">
        <v>254</v>
      </c>
      <c r="IY3" s="23">
        <v>255</v>
      </c>
      <c r="IZ3" s="23">
        <v>256</v>
      </c>
      <c r="JA3" s="23">
        <v>257</v>
      </c>
      <c r="JB3" s="23">
        <v>258</v>
      </c>
      <c r="JC3" s="23">
        <v>259</v>
      </c>
      <c r="JD3" s="23">
        <v>260</v>
      </c>
      <c r="JK3" s="21"/>
      <c r="JL3" s="21"/>
      <c r="JM3" s="20"/>
      <c r="JN3" s="35"/>
      <c r="JO3" s="35"/>
      <c r="JP3" s="35"/>
      <c r="JQ3" s="41"/>
      <c r="JR3" s="35"/>
      <c r="JS3" s="35"/>
      <c r="JT3" s="35"/>
      <c r="JU3" s="35"/>
      <c r="JV3" s="35"/>
      <c r="JW3" s="35"/>
    </row>
    <row r="4" spans="1:283" x14ac:dyDescent="0.25">
      <c r="JK4" s="35"/>
      <c r="JL4" s="35"/>
      <c r="JM4" s="35"/>
      <c r="JN4" s="35"/>
      <c r="JO4" s="35"/>
      <c r="JP4" s="35"/>
      <c r="JQ4" s="35"/>
      <c r="JR4" s="35"/>
      <c r="JS4" s="35"/>
      <c r="JT4" s="35"/>
      <c r="JU4" s="35"/>
      <c r="JV4" s="35"/>
      <c r="JW4" s="35"/>
    </row>
    <row r="5" spans="1:283" ht="13.8" x14ac:dyDescent="0.3">
      <c r="A5" s="18" t="s">
        <v>10</v>
      </c>
      <c r="B5" s="18" t="s">
        <v>52</v>
      </c>
      <c r="D5" s="17">
        <v>70</v>
      </c>
      <c r="E5">
        <v>70.61152060622463</v>
      </c>
      <c r="F5">
        <v>69.468978598105551</v>
      </c>
      <c r="G5">
        <v>69.647767097880021</v>
      </c>
      <c r="H5">
        <v>69.987422518719001</v>
      </c>
      <c r="I5">
        <v>70.138626332882282</v>
      </c>
      <c r="J5">
        <v>69.326023000451073</v>
      </c>
      <c r="K5">
        <v>69.813283547135768</v>
      </c>
      <c r="L5">
        <v>70.704086219215171</v>
      </c>
      <c r="M5">
        <v>70.615147673432574</v>
      </c>
      <c r="N5">
        <v>69.766139958502492</v>
      </c>
      <c r="O5">
        <v>69.647830385205239</v>
      </c>
      <c r="P5">
        <v>69.568749999097889</v>
      </c>
      <c r="Q5">
        <v>70.764509436175018</v>
      </c>
      <c r="R5">
        <v>70.457890428507</v>
      </c>
      <c r="S5">
        <v>70.784565910690119</v>
      </c>
      <c r="T5">
        <v>69.935750343707724</v>
      </c>
      <c r="U5">
        <v>69.974309564276055</v>
      </c>
      <c r="V5">
        <v>70.910865322507902</v>
      </c>
      <c r="W5">
        <v>69.779486700947231</v>
      </c>
      <c r="X5">
        <v>70.430688914749666</v>
      </c>
      <c r="Y5">
        <v>70.248853959404613</v>
      </c>
      <c r="Z5">
        <v>69.505805847541723</v>
      </c>
      <c r="AA5">
        <v>70.922352938204781</v>
      </c>
      <c r="AB5">
        <v>70.284445281010377</v>
      </c>
      <c r="AC5">
        <v>69.26040205142084</v>
      </c>
      <c r="AD5">
        <v>70.07862959494814</v>
      </c>
      <c r="AE5">
        <v>70.594732364456476</v>
      </c>
      <c r="AF5">
        <v>70.305300090212</v>
      </c>
      <c r="AG5">
        <v>70.25311637528192</v>
      </c>
      <c r="AH5">
        <v>69.986680626071276</v>
      </c>
      <c r="AI5">
        <v>70.013321912494362</v>
      </c>
      <c r="AJ5">
        <v>69.820615038340108</v>
      </c>
      <c r="AK5">
        <v>70.233311117726657</v>
      </c>
      <c r="AL5">
        <v>70.57801248714479</v>
      </c>
      <c r="AM5">
        <v>69.906031254848898</v>
      </c>
      <c r="AN5">
        <v>70.473018625169146</v>
      </c>
      <c r="AO5">
        <v>70.435162700947231</v>
      </c>
      <c r="AP5">
        <v>69.729075953089762</v>
      </c>
      <c r="AQ5">
        <v>70.518569055480384</v>
      </c>
      <c r="AR5">
        <v>69.592983815967528</v>
      </c>
      <c r="AS5">
        <v>70.231404958051428</v>
      </c>
      <c r="AT5">
        <v>69.925213679747415</v>
      </c>
      <c r="AU5">
        <v>70.458500341001354</v>
      </c>
      <c r="AV5">
        <v>70.041083830401448</v>
      </c>
      <c r="AW5">
        <v>70.538196158773118</v>
      </c>
      <c r="AX5">
        <v>69.793611797925124</v>
      </c>
      <c r="AY5">
        <v>69.278280322958963</v>
      </c>
      <c r="AZ5">
        <v>70.861559671628328</v>
      </c>
      <c r="BA5">
        <v>70.131202531348677</v>
      </c>
      <c r="BB5">
        <v>69.201287307171853</v>
      </c>
      <c r="BC5">
        <v>70.129946257104194</v>
      </c>
      <c r="BD5">
        <v>70.704628436626066</v>
      </c>
      <c r="BE5">
        <v>70.375037203428064</v>
      </c>
      <c r="BF5">
        <v>70.222952128101042</v>
      </c>
      <c r="BG5">
        <v>70.069741950383403</v>
      </c>
      <c r="BH5">
        <v>69.722139530897621</v>
      </c>
      <c r="BI5">
        <v>70.65912050518719</v>
      </c>
      <c r="BJ5">
        <v>69.985978971583222</v>
      </c>
      <c r="BK5">
        <v>69.929964977898067</v>
      </c>
      <c r="BL5">
        <v>70.182565948579168</v>
      </c>
      <c r="BM5">
        <v>69.387491298150664</v>
      </c>
      <c r="BN5">
        <v>69.888811671628332</v>
      </c>
      <c r="BO5">
        <v>70.737359552548497</v>
      </c>
      <c r="BP5">
        <v>70.47368952638702</v>
      </c>
      <c r="BQ5">
        <v>70.412475868290485</v>
      </c>
      <c r="BR5">
        <v>70.292797389264777</v>
      </c>
      <c r="BS5">
        <v>69.907284763193516</v>
      </c>
      <c r="BT5">
        <v>69.786693751917014</v>
      </c>
      <c r="BU5">
        <v>70.414836001804247</v>
      </c>
      <c r="BV5">
        <v>69.630043704104651</v>
      </c>
      <c r="BW5">
        <v>69.957338747857477</v>
      </c>
      <c r="BX5">
        <v>69.879334814614353</v>
      </c>
      <c r="BY5">
        <v>70.049720952638708</v>
      </c>
      <c r="BZ5">
        <v>69.978697506540371</v>
      </c>
      <c r="CA5">
        <v>69.893649344158774</v>
      </c>
      <c r="CB5">
        <v>70.241894500676594</v>
      </c>
      <c r="CC5">
        <v>69.702459269282812</v>
      </c>
      <c r="CD5">
        <v>69.872714412268834</v>
      </c>
      <c r="CE5">
        <v>70.484182693730276</v>
      </c>
      <c r="CF5">
        <v>69.928869012178623</v>
      </c>
      <c r="CG5">
        <v>70.206889524582778</v>
      </c>
      <c r="CH5">
        <v>70.531936737934146</v>
      </c>
      <c r="CI5">
        <v>69.337808967072633</v>
      </c>
      <c r="CJ5">
        <v>69.83661456923771</v>
      </c>
      <c r="CK5">
        <v>69.752249975642769</v>
      </c>
      <c r="CL5">
        <v>69.507982724402353</v>
      </c>
      <c r="CM5">
        <v>70.688501320703665</v>
      </c>
      <c r="CN5">
        <v>68.903084137122249</v>
      </c>
      <c r="CO5">
        <v>70</v>
      </c>
      <c r="CP5">
        <v>69.996506807397395</v>
      </c>
      <c r="CQ5">
        <v>69.683556882273351</v>
      </c>
      <c r="CR5">
        <v>70.097502731619315</v>
      </c>
      <c r="CS5">
        <v>69.826319965719449</v>
      </c>
      <c r="CT5">
        <v>69.51020005412721</v>
      </c>
      <c r="CU5">
        <v>69.141438728010826</v>
      </c>
      <c r="CV5">
        <v>69.769088963464142</v>
      </c>
      <c r="CW5">
        <v>69.905047958502479</v>
      </c>
      <c r="CX5">
        <v>69.608825513757338</v>
      </c>
      <c r="CY5">
        <v>70.257228510599916</v>
      </c>
      <c r="CZ5">
        <v>68.93343491204331</v>
      </c>
      <c r="DA5">
        <v>69.714529593143894</v>
      </c>
      <c r="DB5">
        <v>69.649900920162395</v>
      </c>
      <c r="DC5">
        <v>70.039656310329278</v>
      </c>
      <c r="DD5">
        <v>69.657991164636897</v>
      </c>
      <c r="DE5">
        <v>69.881812214704567</v>
      </c>
      <c r="DF5">
        <v>70.263628663960318</v>
      </c>
      <c r="DG5">
        <v>70.046165445196209</v>
      </c>
      <c r="DH5">
        <v>70.032990857916104</v>
      </c>
      <c r="DI5">
        <v>70.431525037437979</v>
      </c>
      <c r="DJ5">
        <v>70</v>
      </c>
      <c r="DK5">
        <v>69.677845690572852</v>
      </c>
      <c r="DL5">
        <v>70.303640840775827</v>
      </c>
      <c r="DM5">
        <v>70.299942870545792</v>
      </c>
      <c r="DN5">
        <v>69.516784866035195</v>
      </c>
      <c r="DO5">
        <v>70.112710735227793</v>
      </c>
      <c r="DP5">
        <v>70.106241699594051</v>
      </c>
      <c r="DQ5">
        <v>68.779942208389727</v>
      </c>
      <c r="DR5">
        <v>69.915285791610287</v>
      </c>
      <c r="DS5">
        <v>70.637858148849801</v>
      </c>
      <c r="DT5">
        <v>70.503358879566989</v>
      </c>
      <c r="DU5">
        <v>71.089651195308988</v>
      </c>
      <c r="DV5">
        <v>70.378707375732972</v>
      </c>
      <c r="DW5">
        <v>70.047370455570601</v>
      </c>
      <c r="DX5">
        <v>70.418672506991427</v>
      </c>
      <c r="DY5">
        <v>70.288811310780346</v>
      </c>
      <c r="DZ5">
        <v>69.641261057284623</v>
      </c>
      <c r="EA5">
        <v>69.007757874605332</v>
      </c>
      <c r="EB5">
        <v>70.24219126026162</v>
      </c>
      <c r="EC5">
        <v>70.087567354082097</v>
      </c>
      <c r="ED5">
        <v>69.598163032927374</v>
      </c>
      <c r="EE5">
        <v>70.255425383852057</v>
      </c>
      <c r="EF5">
        <v>69.605652635092483</v>
      </c>
      <c r="EG5">
        <v>70.086998083897171</v>
      </c>
      <c r="EH5">
        <v>70.181155945872803</v>
      </c>
      <c r="EI5">
        <v>71.124853914298612</v>
      </c>
      <c r="EJ5">
        <v>70.625921194406857</v>
      </c>
      <c r="EK5">
        <v>70.193122479025718</v>
      </c>
      <c r="EL5">
        <v>70.110529955796125</v>
      </c>
      <c r="EM5">
        <v>70.521972564727108</v>
      </c>
      <c r="EN5">
        <v>70.230423935047369</v>
      </c>
      <c r="EO5">
        <v>69.923276211096081</v>
      </c>
      <c r="EP5">
        <v>70.990299112313934</v>
      </c>
      <c r="EQ5">
        <v>70.534568775823189</v>
      </c>
      <c r="ER5">
        <v>69.943025733874606</v>
      </c>
      <c r="ES5">
        <v>69.943072072169599</v>
      </c>
      <c r="ET5">
        <v>69.872146114569247</v>
      </c>
      <c r="EU5">
        <v>70.83376116553903</v>
      </c>
      <c r="EV5">
        <v>69.913854987821381</v>
      </c>
      <c r="EW5">
        <v>68.939501060893107</v>
      </c>
      <c r="EX5">
        <v>69.550426493459639</v>
      </c>
      <c r="EY5">
        <v>69.720139924221925</v>
      </c>
      <c r="EZ5">
        <v>70.305676858818231</v>
      </c>
      <c r="FA5">
        <v>70.921989418132625</v>
      </c>
      <c r="FB5">
        <v>69.808296983310782</v>
      </c>
      <c r="FC5">
        <v>70.486160754172317</v>
      </c>
      <c r="FD5">
        <v>69.914311942264334</v>
      </c>
      <c r="FE5">
        <v>69.843256997744703</v>
      </c>
      <c r="FF5">
        <v>70.243080377086159</v>
      </c>
      <c r="FG5">
        <v>69.453790031574201</v>
      </c>
      <c r="FH5">
        <v>70.521694737032036</v>
      </c>
      <c r="FI5">
        <v>69.743667994587284</v>
      </c>
      <c r="FJ5">
        <v>69.730469145692382</v>
      </c>
      <c r="FK5">
        <v>69.914988362652238</v>
      </c>
      <c r="FL5">
        <v>70.356016678394226</v>
      </c>
      <c r="FM5">
        <v>70.25727411637348</v>
      </c>
      <c r="FN5">
        <v>70.315865044654942</v>
      </c>
      <c r="FO5">
        <v>69.550641943166454</v>
      </c>
      <c r="FP5">
        <v>69.462082906630584</v>
      </c>
      <c r="FQ5">
        <v>70.021240014433928</v>
      </c>
      <c r="FR5">
        <v>69.802319722147047</v>
      </c>
      <c r="FS5">
        <v>71.803227810554816</v>
      </c>
      <c r="FT5">
        <v>70.400582663058188</v>
      </c>
      <c r="FU5">
        <v>70.358711561569692</v>
      </c>
      <c r="FV5">
        <v>70.807151162832668</v>
      </c>
      <c r="FW5">
        <v>69.573125854758686</v>
      </c>
      <c r="FX5">
        <v>69.867772064952646</v>
      </c>
      <c r="FY5">
        <v>70.073537131258462</v>
      </c>
      <c r="FZ5">
        <v>70.548438323861077</v>
      </c>
      <c r="GA5">
        <v>70.995973160126297</v>
      </c>
      <c r="GB5">
        <v>70.564516133513763</v>
      </c>
      <c r="GC5">
        <v>70.03790750383402</v>
      </c>
      <c r="GD5">
        <v>70.075897214253501</v>
      </c>
      <c r="GE5">
        <v>70.186443437077131</v>
      </c>
      <c r="GF5">
        <v>70.317243637347772</v>
      </c>
      <c r="GG5">
        <v>69.536775868290491</v>
      </c>
      <c r="GH5">
        <v>70.053197259359493</v>
      </c>
      <c r="GI5">
        <v>69.848337122237268</v>
      </c>
      <c r="GJ5">
        <v>70.167227707713138</v>
      </c>
      <c r="GK5">
        <v>70.076095222372587</v>
      </c>
      <c r="GL5">
        <v>70.567671229589536</v>
      </c>
      <c r="GM5">
        <v>69.938683889941359</v>
      </c>
      <c r="GN5">
        <v>69.877582244474524</v>
      </c>
      <c r="GO5">
        <v>70.516406083897166</v>
      </c>
      <c r="GP5">
        <v>70.038558993234105</v>
      </c>
      <c r="GQ5">
        <v>70.061748815516466</v>
      </c>
      <c r="GR5">
        <v>69.892106136220121</v>
      </c>
      <c r="GS5">
        <v>70.247486468200279</v>
      </c>
      <c r="GT5">
        <v>70.069674848894905</v>
      </c>
      <c r="GU5">
        <v>70.373582390617955</v>
      </c>
      <c r="GV5">
        <v>70.367721019395574</v>
      </c>
      <c r="GW5">
        <v>70.29857447000451</v>
      </c>
      <c r="GX5">
        <v>70.363308133513769</v>
      </c>
      <c r="GY5">
        <v>70.063241100586382</v>
      </c>
      <c r="GZ5">
        <v>70.32561834009924</v>
      </c>
      <c r="HA5">
        <v>69.809911751014894</v>
      </c>
      <c r="HB5">
        <v>70.174682401443405</v>
      </c>
      <c r="HC5">
        <v>69.992060793865591</v>
      </c>
      <c r="HD5">
        <v>69.849479400992337</v>
      </c>
      <c r="HE5">
        <v>69.653153151105101</v>
      </c>
      <c r="HF5">
        <v>70.071017926928292</v>
      </c>
      <c r="HG5">
        <v>69.764071456923773</v>
      </c>
      <c r="HH5">
        <v>70.086614179521874</v>
      </c>
      <c r="HI5">
        <v>69.929205529995485</v>
      </c>
      <c r="HJ5">
        <v>69.882207763644573</v>
      </c>
      <c r="HK5">
        <v>70.086487705908894</v>
      </c>
      <c r="HL5">
        <v>70.015728573748319</v>
      </c>
      <c r="HM5">
        <v>69.968556985115029</v>
      </c>
      <c r="HN5">
        <v>69.718152328371673</v>
      </c>
      <c r="HO5">
        <v>70.346184106450167</v>
      </c>
      <c r="HP5">
        <v>70.244755249436182</v>
      </c>
      <c r="HQ5">
        <v>69.842448799278316</v>
      </c>
      <c r="HR5">
        <v>69.921312952638715</v>
      </c>
      <c r="HS5">
        <v>70.078775606675691</v>
      </c>
      <c r="HT5">
        <v>70</v>
      </c>
      <c r="HU5">
        <v>69.577181207036546</v>
      </c>
      <c r="HV5">
        <v>69.742561015787103</v>
      </c>
      <c r="HW5">
        <v>69.728019543527296</v>
      </c>
      <c r="HX5">
        <v>70.007771736580963</v>
      </c>
      <c r="HY5">
        <v>70.062229134866939</v>
      </c>
      <c r="HZ5">
        <v>70.062284503382955</v>
      </c>
      <c r="IA5">
        <v>70.093551624718089</v>
      </c>
      <c r="IB5">
        <v>70.07804660893099</v>
      </c>
      <c r="IC5">
        <v>69.758888893098785</v>
      </c>
      <c r="ID5">
        <v>70.210631900766799</v>
      </c>
      <c r="IE5">
        <v>69.937646147045555</v>
      </c>
      <c r="IF5">
        <v>70.211078852503391</v>
      </c>
      <c r="IG5">
        <v>70.03715395399189</v>
      </c>
      <c r="IH5">
        <v>69.814721941362208</v>
      </c>
      <c r="II5">
        <v>70.219116822733426</v>
      </c>
      <c r="IJ5">
        <v>69.984352294091124</v>
      </c>
      <c r="IK5">
        <v>70.046974616147949</v>
      </c>
      <c r="IL5">
        <v>70.04700615245828</v>
      </c>
      <c r="IM5">
        <v>69.874874314839886</v>
      </c>
      <c r="IN5">
        <v>69.921883713125851</v>
      </c>
      <c r="IO5">
        <v>69.968767433468656</v>
      </c>
      <c r="IP5">
        <v>69.968781364005423</v>
      </c>
      <c r="IQ5">
        <v>69.666000882273352</v>
      </c>
      <c r="IR5">
        <v>69.961184434821831</v>
      </c>
      <c r="IS5">
        <v>69.876010190347316</v>
      </c>
      <c r="IT5">
        <v>69.78368833017592</v>
      </c>
      <c r="IU5">
        <v>69.969111971132165</v>
      </c>
      <c r="IV5">
        <v>70.17029746504285</v>
      </c>
      <c r="IW5">
        <v>69.976785322507908</v>
      </c>
      <c r="IX5">
        <v>70.381238186738841</v>
      </c>
      <c r="IY5">
        <v>70.015564198466393</v>
      </c>
      <c r="IZ5">
        <v>69.860201935949476</v>
      </c>
      <c r="JA5">
        <v>69.860480571944066</v>
      </c>
      <c r="JB5">
        <v>70.452468519621107</v>
      </c>
      <c r="JC5">
        <v>69.809391496617053</v>
      </c>
      <c r="JD5">
        <v>70.473872669373037</v>
      </c>
      <c r="JK5" s="21"/>
      <c r="JL5" s="21"/>
      <c r="JM5" s="20"/>
      <c r="JN5" s="35"/>
      <c r="JO5" s="35"/>
      <c r="JP5" s="35"/>
      <c r="JQ5" s="41"/>
      <c r="JR5" s="35"/>
      <c r="JS5" s="35"/>
      <c r="JT5" s="35"/>
      <c r="JU5" s="35"/>
      <c r="JV5" s="35"/>
      <c r="JW5" s="35"/>
    </row>
    <row r="6" spans="1:283" ht="13.8" x14ac:dyDescent="0.3">
      <c r="A6" s="18"/>
      <c r="B6" s="18"/>
      <c r="D6" s="17"/>
      <c r="JK6" s="21"/>
      <c r="JL6" s="21"/>
      <c r="JM6" s="20"/>
      <c r="JN6" s="35"/>
      <c r="JO6" s="35"/>
      <c r="JP6" s="35"/>
      <c r="JQ6" s="41"/>
      <c r="JR6" s="35"/>
      <c r="JS6" s="35"/>
      <c r="JT6" s="35"/>
      <c r="JU6" s="35"/>
      <c r="JV6" s="35"/>
      <c r="JW6" s="35"/>
    </row>
    <row r="7" spans="1:283" ht="13.8" x14ac:dyDescent="0.3"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</row>
    <row r="8" spans="1:283" ht="13.8" x14ac:dyDescent="0.3">
      <c r="A8" s="19" t="s">
        <v>11</v>
      </c>
      <c r="B8" s="18" t="s">
        <v>48</v>
      </c>
      <c r="C8" s="14">
        <v>5</v>
      </c>
      <c r="D8" s="13">
        <v>4.8796392700000002</v>
      </c>
      <c r="E8">
        <v>4.8451607490065243</v>
      </c>
      <c r="F8">
        <v>4.732732488509714</v>
      </c>
      <c r="G8">
        <v>5.0878290686250676</v>
      </c>
      <c r="H8">
        <v>4.8673098483575536</v>
      </c>
      <c r="I8">
        <v>5.2324023884627007</v>
      </c>
      <c r="J8">
        <v>4.9314427904926701</v>
      </c>
      <c r="K8">
        <v>4.7152786791705124</v>
      </c>
      <c r="L8">
        <v>5.0501183280171107</v>
      </c>
      <c r="M8">
        <v>4.7265659772494102</v>
      </c>
      <c r="N8">
        <v>4.724189070443642</v>
      </c>
      <c r="O8">
        <v>5.8151199916686487</v>
      </c>
      <c r="P8">
        <v>4.7742346780300533</v>
      </c>
      <c r="Q8">
        <v>4.843912121841278</v>
      </c>
      <c r="R8">
        <v>4.9701717091839033</v>
      </c>
      <c r="S8">
        <v>5.2384961158903183</v>
      </c>
      <c r="T8">
        <v>5.0698616138562596</v>
      </c>
      <c r="U8">
        <v>4.6243887757360067</v>
      </c>
      <c r="V8">
        <v>4.989326544904185</v>
      </c>
      <c r="W8">
        <v>4.8593756521775688</v>
      </c>
      <c r="X8">
        <v>5.2416941609402308</v>
      </c>
      <c r="Y8">
        <v>4.9062964449452728</v>
      </c>
      <c r="Z8">
        <v>4.5117786604703163</v>
      </c>
      <c r="AA8">
        <v>4.9128481575305125</v>
      </c>
      <c r="AB8">
        <v>4.9540574078635604</v>
      </c>
      <c r="AC8">
        <v>4.7881066825446794</v>
      </c>
      <c r="AD8">
        <v>5.7519352400106634</v>
      </c>
      <c r="AE8">
        <v>4.5338124802540003</v>
      </c>
      <c r="AF8">
        <v>5.0209579183219821</v>
      </c>
      <c r="AG8">
        <v>5.3144099865505696</v>
      </c>
      <c r="AH8">
        <v>4.7768115432448033</v>
      </c>
      <c r="AI8">
        <v>4.7500335786452288</v>
      </c>
      <c r="AJ8">
        <v>4.9365338597658894</v>
      </c>
      <c r="AK8">
        <v>4.9149402291032898</v>
      </c>
      <c r="AL8">
        <v>5.3332972220305717</v>
      </c>
      <c r="AM8">
        <v>5.0936430670281343</v>
      </c>
      <c r="AN8">
        <v>4.8155195183626827</v>
      </c>
      <c r="AO8">
        <v>4.9559315577772685</v>
      </c>
      <c r="AP8">
        <v>4.7690775849824192</v>
      </c>
      <c r="AQ8">
        <v>5.2775754882232668</v>
      </c>
      <c r="AR8">
        <v>4.9762928563577029</v>
      </c>
      <c r="AS8">
        <v>4.5763367728988698</v>
      </c>
      <c r="AT8">
        <v>4.952470019490586</v>
      </c>
      <c r="AU8">
        <v>4.9176650097848453</v>
      </c>
      <c r="AV8">
        <v>5.9191377525379618</v>
      </c>
      <c r="AW8">
        <v>4.8527625358895961</v>
      </c>
      <c r="AX8">
        <v>4.8080171643889837</v>
      </c>
      <c r="AY8">
        <v>4.9656974098392448</v>
      </c>
      <c r="AZ8">
        <v>4.3037917623264335</v>
      </c>
      <c r="BA8">
        <v>4.8873021097070586</v>
      </c>
      <c r="BB8">
        <v>4.8170101799886993</v>
      </c>
      <c r="BC8">
        <v>6.1610079227077055</v>
      </c>
      <c r="BD8">
        <v>5.1039233042046233</v>
      </c>
      <c r="BE8">
        <v>4.8673696270605786</v>
      </c>
      <c r="BF8">
        <v>5.0160804328186499</v>
      </c>
      <c r="BG8">
        <v>5.4278967398458997</v>
      </c>
      <c r="BH8">
        <v>4.983926281854008</v>
      </c>
      <c r="BI8">
        <v>4.7464818708791308</v>
      </c>
      <c r="BJ8">
        <v>4.8727623998764047</v>
      </c>
      <c r="BK8">
        <v>4.9813480801175816</v>
      </c>
      <c r="BL8">
        <v>5.2462917336459345</v>
      </c>
      <c r="BM8">
        <v>5.2597087142006735</v>
      </c>
      <c r="BN8">
        <v>4.9209398160611739</v>
      </c>
      <c r="BO8">
        <v>4.7522076995072373</v>
      </c>
      <c r="BP8">
        <v>5.3278039262811365</v>
      </c>
      <c r="BQ8">
        <v>4.8309275508321816</v>
      </c>
      <c r="BR8">
        <v>4.666197531615369</v>
      </c>
      <c r="BS8">
        <v>4.9286272816381089</v>
      </c>
      <c r="BT8">
        <v>4.8069171422653225</v>
      </c>
      <c r="BU8">
        <v>5.5913546732012485</v>
      </c>
      <c r="BV8">
        <v>5.0808243248415721</v>
      </c>
      <c r="BW8">
        <v>4.7040516730785775</v>
      </c>
      <c r="BX8">
        <v>4.9992668948399981</v>
      </c>
      <c r="BY8">
        <v>5.6263548426032086</v>
      </c>
      <c r="BZ8">
        <v>5.1741679205657949</v>
      </c>
      <c r="CA8">
        <v>4.7173870983946111</v>
      </c>
      <c r="CB8">
        <v>4.7042465776315936</v>
      </c>
      <c r="CC8">
        <v>5.415706488332594</v>
      </c>
      <c r="CD8">
        <v>4.8417805992844114</v>
      </c>
      <c r="CE8">
        <v>4.8660782557445277</v>
      </c>
      <c r="CF8">
        <v>5.1225126828703225</v>
      </c>
      <c r="CG8">
        <v>4.9824870643068069</v>
      </c>
      <c r="CH8">
        <v>5.1559934945367658</v>
      </c>
      <c r="CI8">
        <v>4.7807359150804656</v>
      </c>
      <c r="CJ8">
        <v>4.5104285506890021</v>
      </c>
      <c r="CK8">
        <v>4.9079858099848401</v>
      </c>
      <c r="CL8">
        <v>4.964591894619689</v>
      </c>
      <c r="CM8">
        <v>5.238625710177585</v>
      </c>
      <c r="CN8">
        <v>5.0966687879571539</v>
      </c>
      <c r="CO8">
        <v>4.8198182583357401</v>
      </c>
      <c r="CP8">
        <v>5.0244450553993545</v>
      </c>
      <c r="CQ8">
        <v>5.1308934054413804</v>
      </c>
      <c r="CR8">
        <v>4.8580176585473902</v>
      </c>
      <c r="CS8">
        <v>4.9144973555113234</v>
      </c>
      <c r="CT8">
        <v>5.1097762311226633</v>
      </c>
      <c r="CU8">
        <v>5.1006565393739995</v>
      </c>
      <c r="CV8">
        <v>4.9392344328811451</v>
      </c>
      <c r="CW8">
        <v>6.0404940380471297</v>
      </c>
      <c r="CX8">
        <v>4.9650528885191711</v>
      </c>
      <c r="CY8">
        <v>5.1669368771159583</v>
      </c>
      <c r="CZ8">
        <v>5.0780795953068871</v>
      </c>
      <c r="DA8">
        <v>5.3559758683876577</v>
      </c>
      <c r="DB8">
        <v>5.0368929302143162</v>
      </c>
      <c r="DC8">
        <v>4.5816753433367543</v>
      </c>
      <c r="DD8">
        <v>4.8687863454861358</v>
      </c>
      <c r="DE8">
        <v>4.7777662796698301</v>
      </c>
      <c r="DF8">
        <v>4.5920798037242738</v>
      </c>
      <c r="DG8">
        <v>4.9496392700000005</v>
      </c>
      <c r="DH8">
        <v>4.9196392700000002</v>
      </c>
      <c r="DI8">
        <v>4.9096392700000004</v>
      </c>
      <c r="DJ8">
        <v>4.92963927</v>
      </c>
      <c r="DK8">
        <v>4.6337364443953115</v>
      </c>
      <c r="DL8">
        <v>6.0377103992308845</v>
      </c>
      <c r="DM8">
        <v>4.656313386220071</v>
      </c>
      <c r="DN8">
        <v>5.0642791840568169</v>
      </c>
      <c r="DO8">
        <v>5.0001475039678382</v>
      </c>
      <c r="DP8">
        <v>5.8028302641865546</v>
      </c>
      <c r="DQ8">
        <v>4.8959711563099635</v>
      </c>
      <c r="DR8">
        <v>5.0617738804747354</v>
      </c>
      <c r="DS8">
        <v>5.2225074622323389</v>
      </c>
      <c r="DT8">
        <v>5.0734819606320007</v>
      </c>
      <c r="DU8">
        <v>5.0580931368991946</v>
      </c>
      <c r="DV8">
        <v>5.1512414823236599</v>
      </c>
      <c r="DW8">
        <v>5.0548653456695503</v>
      </c>
      <c r="DX8">
        <v>5.0596997820923999</v>
      </c>
      <c r="DY8">
        <v>5.1974856260237683</v>
      </c>
      <c r="DZ8">
        <v>4.812604660367346</v>
      </c>
      <c r="EA8">
        <v>4.956146241511747</v>
      </c>
      <c r="EB8">
        <v>4.8996280881760681</v>
      </c>
      <c r="EC8">
        <v>4.9966412220416609</v>
      </c>
      <c r="ED8">
        <v>5.3643210485642312</v>
      </c>
      <c r="EE8">
        <v>4.2016224209437727</v>
      </c>
      <c r="EF8">
        <v>5.5653428780673195</v>
      </c>
      <c r="EG8">
        <v>5.4551447542837144</v>
      </c>
      <c r="EH8">
        <v>5.3280731894485394</v>
      </c>
      <c r="EI8">
        <v>4.8825804833541078</v>
      </c>
      <c r="EJ8">
        <v>4.308384591453617</v>
      </c>
      <c r="EK8">
        <v>4.7367271553393167</v>
      </c>
      <c r="EL8">
        <v>4.9303497456430696</v>
      </c>
      <c r="EM8">
        <v>5.1667307241772393</v>
      </c>
      <c r="EN8">
        <v>5.4029524982576014</v>
      </c>
      <c r="EO8">
        <v>5.1680701846519739</v>
      </c>
      <c r="EP8">
        <v>4.9546080108459263</v>
      </c>
      <c r="EQ8">
        <v>4.5330802211324244</v>
      </c>
      <c r="ER8">
        <v>5.0043682412810506</v>
      </c>
      <c r="ES8">
        <v>4.8054734502763372</v>
      </c>
      <c r="ET8">
        <v>5.0550756102043684</v>
      </c>
      <c r="EU8">
        <v>4.7980773489971114</v>
      </c>
      <c r="EV8">
        <v>5.3925591097491781</v>
      </c>
      <c r="EW8">
        <v>5.138721303517241</v>
      </c>
      <c r="EX8">
        <v>4.8375349260396421</v>
      </c>
      <c r="EY8">
        <v>4.8916879625499021</v>
      </c>
      <c r="EZ8">
        <v>5.0847749594058769</v>
      </c>
      <c r="FA8">
        <v>4.7189539654431005</v>
      </c>
      <c r="FB8">
        <v>5.1427119899555844</v>
      </c>
      <c r="FC8">
        <v>4.881705906782341</v>
      </c>
      <c r="FD8">
        <v>5.3208938115622493</v>
      </c>
      <c r="FE8">
        <v>5.0774999738627526</v>
      </c>
      <c r="FF8">
        <v>4.9443341853070812</v>
      </c>
      <c r="FG8">
        <v>4.9951226395682298</v>
      </c>
      <c r="FH8">
        <v>4.7391924564023062</v>
      </c>
      <c r="FI8">
        <v>5.0776622351419531</v>
      </c>
      <c r="FJ8">
        <v>5.8951032981627014</v>
      </c>
      <c r="FK8">
        <v>4.4756811963671126</v>
      </c>
      <c r="FL8">
        <v>4.4382815345952595</v>
      </c>
      <c r="FM8">
        <v>5.3262771638906905</v>
      </c>
      <c r="FN8">
        <v>4.8930506882231883</v>
      </c>
      <c r="FO8">
        <v>4.7627618100903391</v>
      </c>
      <c r="FP8">
        <v>4.8680469873944885</v>
      </c>
      <c r="FQ8">
        <v>5.2369607037898653</v>
      </c>
      <c r="FR8">
        <v>5.0707832654173055</v>
      </c>
      <c r="FS8">
        <v>5.3361065387056312</v>
      </c>
      <c r="FT8">
        <v>5.0525209079812239</v>
      </c>
      <c r="FU8">
        <v>5.2306770182863627</v>
      </c>
      <c r="FV8">
        <v>4.4007035427542096</v>
      </c>
      <c r="FW8">
        <v>4.782894647542081</v>
      </c>
      <c r="FX8">
        <v>5.3647891342751972</v>
      </c>
      <c r="FY8">
        <v>5.5430250078215515</v>
      </c>
      <c r="FZ8">
        <v>4.3923698688883084</v>
      </c>
      <c r="GA8">
        <v>4.8994031603928194</v>
      </c>
      <c r="GB8">
        <v>4.8013149307184166</v>
      </c>
      <c r="GC8">
        <v>5.7057056040966163</v>
      </c>
      <c r="GD8">
        <v>5.1191036864925756</v>
      </c>
      <c r="GE8">
        <v>5.060065593042034</v>
      </c>
      <c r="GF8">
        <v>4.7539577907495785</v>
      </c>
      <c r="GG8">
        <v>5.9652686138091786</v>
      </c>
      <c r="GH8">
        <v>4.5619145784655704</v>
      </c>
      <c r="GI8">
        <v>4.7591782657286332</v>
      </c>
      <c r="GJ8">
        <v>5.1147727878952862</v>
      </c>
      <c r="GK8">
        <v>4.8415778562921838</v>
      </c>
      <c r="GL8">
        <v>4.4199454960447477</v>
      </c>
      <c r="GM8">
        <v>5.1288654558085751</v>
      </c>
      <c r="GN8">
        <v>5.7509615978599182</v>
      </c>
      <c r="GO8">
        <v>4.9857813180113855</v>
      </c>
      <c r="GP8">
        <v>4.3685614994217179</v>
      </c>
      <c r="GQ8">
        <v>5.6042047485319522</v>
      </c>
      <c r="GR8">
        <v>5.4142122453854791</v>
      </c>
      <c r="GS8">
        <v>5.1220157981557284</v>
      </c>
      <c r="GT8">
        <v>4.1267902393685834</v>
      </c>
      <c r="GU8">
        <v>4.2772262696730943</v>
      </c>
      <c r="GV8">
        <v>4.9356226669034031</v>
      </c>
      <c r="GW8">
        <v>4.7157485283524947</v>
      </c>
      <c r="GX8">
        <v>4.5346294280496835</v>
      </c>
      <c r="GY8">
        <v>5.0909105785727924</v>
      </c>
      <c r="GZ8">
        <v>4.721684218176315</v>
      </c>
      <c r="HA8">
        <v>4.8778934116182393</v>
      </c>
      <c r="HB8">
        <v>4.8812643172516914</v>
      </c>
      <c r="HC8">
        <v>4.7579179365126913</v>
      </c>
      <c r="HD8">
        <v>4.8962116514583292</v>
      </c>
      <c r="HE8">
        <v>5.184261597969595</v>
      </c>
      <c r="HF8">
        <v>5.2019458398312359</v>
      </c>
      <c r="HG8">
        <v>4.8950739204537124</v>
      </c>
      <c r="HH8">
        <v>4.7583678586409608</v>
      </c>
      <c r="HI8">
        <v>5.001389499821534</v>
      </c>
      <c r="HJ8">
        <v>4.9721630807770518</v>
      </c>
      <c r="HK8">
        <v>5.2006943539308521</v>
      </c>
      <c r="HL8">
        <v>4.8572438055654903</v>
      </c>
      <c r="HM8">
        <v>4.8069350935484678</v>
      </c>
      <c r="HN8">
        <v>5.0067077921111949</v>
      </c>
      <c r="HO8">
        <v>4.8012686240483982</v>
      </c>
      <c r="HP8">
        <v>4.9633556087540303</v>
      </c>
      <c r="HQ8">
        <v>4.9841535812646924</v>
      </c>
      <c r="HR8">
        <v>4.688704388611268</v>
      </c>
      <c r="HS8">
        <v>4.7840336385662479</v>
      </c>
      <c r="HT8">
        <v>4.7054116165188518</v>
      </c>
      <c r="HU8">
        <v>5.6856745430867406</v>
      </c>
      <c r="HV8">
        <v>5.0772037634160414</v>
      </c>
      <c r="HW8">
        <v>4.8798884866600289</v>
      </c>
      <c r="HX8">
        <v>4.8294903782912053</v>
      </c>
      <c r="HY8">
        <v>4.9622031069063821</v>
      </c>
      <c r="HZ8">
        <v>4.9302468312013152</v>
      </c>
      <c r="IA8">
        <v>4.7147691070859397</v>
      </c>
      <c r="IB8">
        <v>4.9773678831466226</v>
      </c>
      <c r="IC8">
        <v>5.0115868193850508</v>
      </c>
      <c r="ID8">
        <v>4.8776243276313265</v>
      </c>
      <c r="IE8">
        <v>4.890744746968493</v>
      </c>
      <c r="IF8">
        <v>4.6697053499643024</v>
      </c>
      <c r="IG8">
        <v>4.9824961769748644</v>
      </c>
      <c r="IH8">
        <v>5.120424746719646</v>
      </c>
      <c r="II8">
        <v>4.9683139265864602</v>
      </c>
      <c r="IJ8">
        <v>4.9433574149608166</v>
      </c>
      <c r="IK8">
        <v>4.8857399412589668</v>
      </c>
      <c r="IL8">
        <v>4.8705688339363835</v>
      </c>
      <c r="IM8">
        <v>4.874346087582504</v>
      </c>
      <c r="IN8">
        <v>5.225427937585585</v>
      </c>
      <c r="IO8">
        <v>5.0197996991119416</v>
      </c>
      <c r="IP8">
        <v>4.738625460574732</v>
      </c>
      <c r="IQ8">
        <v>5.2709802062228981</v>
      </c>
      <c r="IR8">
        <v>4.6763371003831411</v>
      </c>
      <c r="IS8">
        <v>4.9134349923742633</v>
      </c>
      <c r="IT8">
        <v>5.65613314858349</v>
      </c>
      <c r="IU8">
        <v>4.8452324422755613</v>
      </c>
      <c r="IV8">
        <v>5.0391669157433912</v>
      </c>
      <c r="IW8">
        <v>5.1079350442690394</v>
      </c>
      <c r="IX8">
        <v>4.6290661118986902</v>
      </c>
      <c r="IY8">
        <v>4.8356111338770793</v>
      </c>
      <c r="IZ8">
        <v>5.0884287458696367</v>
      </c>
      <c r="JA8">
        <v>5.0586734528343476</v>
      </c>
      <c r="JB8">
        <v>4.2745922620347852</v>
      </c>
      <c r="JC8">
        <v>4.9726161239422506</v>
      </c>
      <c r="JD8">
        <v>4.5780616015884421</v>
      </c>
      <c r="JK8" s="21"/>
      <c r="JL8" s="21"/>
      <c r="JM8" s="20"/>
      <c r="JN8" s="35"/>
      <c r="JO8" s="35"/>
      <c r="JP8" s="35"/>
      <c r="JQ8" s="41"/>
      <c r="JR8" s="35"/>
      <c r="JS8" s="35"/>
      <c r="JT8" s="35"/>
      <c r="JU8" s="35"/>
      <c r="JV8" s="35"/>
      <c r="JW8" s="35"/>
    </row>
    <row r="9" spans="1:283" ht="13.8" x14ac:dyDescent="0.3">
      <c r="A9" s="19" t="s">
        <v>11</v>
      </c>
      <c r="B9" s="18" t="s">
        <v>48</v>
      </c>
      <c r="C9" s="14">
        <v>11</v>
      </c>
      <c r="D9" s="13">
        <v>5.2696402600000001</v>
      </c>
      <c r="E9">
        <v>5.1676106241223314</v>
      </c>
      <c r="F9">
        <v>5.1285943554923428</v>
      </c>
      <c r="G9">
        <v>5.5204732428151315</v>
      </c>
      <c r="H9">
        <v>5.2655261784544702</v>
      </c>
      <c r="I9">
        <v>5.5634044956899471</v>
      </c>
      <c r="J9">
        <v>5.309190201013962</v>
      </c>
      <c r="K9">
        <v>5.0681470825150887</v>
      </c>
      <c r="L9">
        <v>5.4305477449940378</v>
      </c>
      <c r="M9">
        <v>5.1003365082271213</v>
      </c>
      <c r="N9">
        <v>5.0893681120534531</v>
      </c>
      <c r="O9">
        <v>6.2890892358172152</v>
      </c>
      <c r="P9">
        <v>5.1942128134064527</v>
      </c>
      <c r="Q9">
        <v>5.2702584086829081</v>
      </c>
      <c r="R9">
        <v>5.3510144953662753</v>
      </c>
      <c r="S9">
        <v>5.619985259063883</v>
      </c>
      <c r="T9">
        <v>5.4402705131737168</v>
      </c>
      <c r="U9">
        <v>5.063989088564445</v>
      </c>
      <c r="V9">
        <v>5.3948972306745517</v>
      </c>
      <c r="W9">
        <v>5.2305639169468101</v>
      </c>
      <c r="X9">
        <v>5.7498328366181788</v>
      </c>
      <c r="Y9">
        <v>5.2512348138960867</v>
      </c>
      <c r="Z9">
        <v>4.8167840162134041</v>
      </c>
      <c r="AA9">
        <v>5.3207078908088254</v>
      </c>
      <c r="AB9">
        <v>5.3220137894392057</v>
      </c>
      <c r="AC9">
        <v>5.1599927674392383</v>
      </c>
      <c r="AD9">
        <v>6.2268582898081641</v>
      </c>
      <c r="AE9">
        <v>4.903775835920948</v>
      </c>
      <c r="AF9">
        <v>5.4906551973984978</v>
      </c>
      <c r="AG9">
        <v>5.7251634465743901</v>
      </c>
      <c r="AH9">
        <v>5.143798666620607</v>
      </c>
      <c r="AI9">
        <v>5.1132820132584875</v>
      </c>
      <c r="AJ9">
        <v>5.2962866525122321</v>
      </c>
      <c r="AK9">
        <v>5.3769633765932703</v>
      </c>
      <c r="AL9">
        <v>5.7431625038664924</v>
      </c>
      <c r="AM9">
        <v>5.536751920061775</v>
      </c>
      <c r="AN9">
        <v>5.2071988263755005</v>
      </c>
      <c r="AO9">
        <v>5.4004316606722478</v>
      </c>
      <c r="AP9">
        <v>5.104647336930487</v>
      </c>
      <c r="AQ9">
        <v>5.6553849825113174</v>
      </c>
      <c r="AR9">
        <v>5.3068256285495776</v>
      </c>
      <c r="AS9">
        <v>4.9557026390572432</v>
      </c>
      <c r="AT9">
        <v>5.302697254719523</v>
      </c>
      <c r="AU9">
        <v>5.3351104844181476</v>
      </c>
      <c r="AV9">
        <v>6.442219768585467</v>
      </c>
      <c r="AW9">
        <v>5.1974184601853803</v>
      </c>
      <c r="AX9">
        <v>5.2398960946216064</v>
      </c>
      <c r="AY9">
        <v>5.3193795572242388</v>
      </c>
      <c r="AZ9">
        <v>4.6121739433439162</v>
      </c>
      <c r="BA9">
        <v>5.2507223726796619</v>
      </c>
      <c r="BB9">
        <v>5.1688086278554559</v>
      </c>
      <c r="BC9">
        <v>6.6402242392355149</v>
      </c>
      <c r="BD9">
        <v>5.4346568306449647</v>
      </c>
      <c r="BE9">
        <v>5.1591968034267444</v>
      </c>
      <c r="BF9">
        <v>5.4561871244796718</v>
      </c>
      <c r="BG9">
        <v>5.8045235656968357</v>
      </c>
      <c r="BH9">
        <v>5.3274668733514785</v>
      </c>
      <c r="BI9">
        <v>5.0978479554175715</v>
      </c>
      <c r="BJ9">
        <v>5.2274183133014516</v>
      </c>
      <c r="BK9">
        <v>5.3422848867394475</v>
      </c>
      <c r="BL9">
        <v>5.7331993835121775</v>
      </c>
      <c r="BM9">
        <v>5.6344917390019909</v>
      </c>
      <c r="BN9">
        <v>5.2878477853451971</v>
      </c>
      <c r="BO9">
        <v>5.1680276231782436</v>
      </c>
      <c r="BP9">
        <v>5.782824851214289</v>
      </c>
      <c r="BQ9">
        <v>5.1738383326455324</v>
      </c>
      <c r="BR9">
        <v>4.9951431662719958</v>
      </c>
      <c r="BS9">
        <v>5.3161496650252467</v>
      </c>
      <c r="BT9">
        <v>5.2603066370448106</v>
      </c>
      <c r="BU9">
        <v>6.0658411830185219</v>
      </c>
      <c r="BV9">
        <v>5.4529086508832165</v>
      </c>
      <c r="BW9">
        <v>5.0452235261388969</v>
      </c>
      <c r="BX9">
        <v>5.4564312960031653</v>
      </c>
      <c r="BY9">
        <v>6.0804417452415143</v>
      </c>
      <c r="BZ9">
        <v>5.5197164463786272</v>
      </c>
      <c r="CA9">
        <v>5.0904240153401394</v>
      </c>
      <c r="CB9">
        <v>5.0362332497079567</v>
      </c>
      <c r="CC9">
        <v>5.7505597773338399</v>
      </c>
      <c r="CD9">
        <v>5.1739603188282537</v>
      </c>
      <c r="CE9">
        <v>5.227002978927568</v>
      </c>
      <c r="CF9">
        <v>5.4455311909181479</v>
      </c>
      <c r="CG9">
        <v>5.4375111104473834</v>
      </c>
      <c r="CH9">
        <v>5.5948848935321056</v>
      </c>
      <c r="CI9">
        <v>5.1264382076415176</v>
      </c>
      <c r="CJ9">
        <v>4.8777237243736291</v>
      </c>
      <c r="CK9">
        <v>5.3146576828628609</v>
      </c>
      <c r="CL9">
        <v>5.4181856846474616</v>
      </c>
      <c r="CM9">
        <v>5.6093259696270321</v>
      </c>
      <c r="CN9">
        <v>5.4924171934546351</v>
      </c>
      <c r="CO9">
        <v>5.2142388637693493</v>
      </c>
      <c r="CP9">
        <v>5.4012240751743867</v>
      </c>
      <c r="CQ9">
        <v>5.5377787013101081</v>
      </c>
      <c r="CR9">
        <v>5.2546920768945009</v>
      </c>
      <c r="CS9">
        <v>5.2692919337797699</v>
      </c>
      <c r="CT9">
        <v>5.4733752720444544</v>
      </c>
      <c r="CU9">
        <v>5.5011289724327312</v>
      </c>
      <c r="CV9">
        <v>5.3331992738038503</v>
      </c>
      <c r="CW9">
        <v>6.496881419798707</v>
      </c>
      <c r="CX9">
        <v>5.355486557343391</v>
      </c>
      <c r="CY9">
        <v>5.5427067094098801</v>
      </c>
      <c r="CZ9">
        <v>5.4591453097543585</v>
      </c>
      <c r="DA9">
        <v>5.740051445922572</v>
      </c>
      <c r="DB9">
        <v>5.4254660771608094</v>
      </c>
      <c r="DC9">
        <v>4.9954640973484672</v>
      </c>
      <c r="DD9">
        <v>5.2663214419151139</v>
      </c>
      <c r="DE9">
        <v>5.2088259167195687</v>
      </c>
      <c r="DF9">
        <v>4.948298608195751</v>
      </c>
      <c r="DG9">
        <v>5.3596402599999999</v>
      </c>
      <c r="DH9">
        <v>5.3096402600000001</v>
      </c>
      <c r="DI9">
        <v>5.3196402599999999</v>
      </c>
      <c r="DJ9">
        <v>5.3596402599999999</v>
      </c>
      <c r="DK9">
        <v>5.0000876544537656</v>
      </c>
      <c r="DL9">
        <v>6.4838753010338293</v>
      </c>
      <c r="DM9">
        <v>5.0652682804567677</v>
      </c>
      <c r="DN9">
        <v>5.5082381196357888</v>
      </c>
      <c r="DO9">
        <v>5.4189807699345431</v>
      </c>
      <c r="DP9">
        <v>6.2402225723345133</v>
      </c>
      <c r="DQ9">
        <v>5.2316827682817078</v>
      </c>
      <c r="DR9">
        <v>5.4399378917544636</v>
      </c>
      <c r="DS9">
        <v>5.5835179673906437</v>
      </c>
      <c r="DT9">
        <v>5.4773771788114427</v>
      </c>
      <c r="DU9">
        <v>5.4875614507737351</v>
      </c>
      <c r="DV9">
        <v>5.598953839375679</v>
      </c>
      <c r="DW9">
        <v>5.3708787153479642</v>
      </c>
      <c r="DX9">
        <v>5.4316942300178139</v>
      </c>
      <c r="DY9">
        <v>5.5256970409138768</v>
      </c>
      <c r="DZ9">
        <v>5.2972479665972099</v>
      </c>
      <c r="EA9">
        <v>5.35146274425691</v>
      </c>
      <c r="EB9">
        <v>5.2372304601687159</v>
      </c>
      <c r="EC9">
        <v>5.3295995613721532</v>
      </c>
      <c r="ED9">
        <v>5.8522605732246049</v>
      </c>
      <c r="EE9">
        <v>4.5258350120262012</v>
      </c>
      <c r="EF9">
        <v>6.0261519345604864</v>
      </c>
      <c r="EG9">
        <v>5.8695440444107403</v>
      </c>
      <c r="EH9">
        <v>5.7931156350097641</v>
      </c>
      <c r="EI9">
        <v>5.2256233743837921</v>
      </c>
      <c r="EJ9">
        <v>4.6895315747156925</v>
      </c>
      <c r="EK9">
        <v>5.1021090512109391</v>
      </c>
      <c r="EL9">
        <v>5.3704075198004295</v>
      </c>
      <c r="EM9">
        <v>5.5348818041837209</v>
      </c>
      <c r="EN9">
        <v>5.8531803670163178</v>
      </c>
      <c r="EO9">
        <v>5.5803245270726078</v>
      </c>
      <c r="EP9">
        <v>5.3550061232030801</v>
      </c>
      <c r="EQ9">
        <v>4.9253827759257973</v>
      </c>
      <c r="ER9">
        <v>5.3995426388803569</v>
      </c>
      <c r="ES9">
        <v>5.153152869154054</v>
      </c>
      <c r="ET9">
        <v>5.4127042679687687</v>
      </c>
      <c r="EU9">
        <v>5.1891618479964503</v>
      </c>
      <c r="EV9">
        <v>5.8387593300854856</v>
      </c>
      <c r="EW9">
        <v>5.5378307203094002</v>
      </c>
      <c r="EX9">
        <v>5.2093753137851566</v>
      </c>
      <c r="EY9">
        <v>5.2178564853648171</v>
      </c>
      <c r="EZ9">
        <v>5.5711712437147174</v>
      </c>
      <c r="FA9">
        <v>5.0289191471495016</v>
      </c>
      <c r="FB9">
        <v>5.4965456688880749</v>
      </c>
      <c r="FC9">
        <v>5.2686751052112157</v>
      </c>
      <c r="FD9">
        <v>5.7081692785649887</v>
      </c>
      <c r="FE9">
        <v>5.4677201211261064</v>
      </c>
      <c r="FF9">
        <v>5.3455096538290823</v>
      </c>
      <c r="FG9">
        <v>5.3987588489315144</v>
      </c>
      <c r="FH9">
        <v>5.1131729064771401</v>
      </c>
      <c r="FI9">
        <v>5.4462968681259962</v>
      </c>
      <c r="FJ9">
        <v>6.4262643810260496</v>
      </c>
      <c r="FK9">
        <v>4.8425969418229355</v>
      </c>
      <c r="FL9">
        <v>4.8122081441109819</v>
      </c>
      <c r="FM9">
        <v>5.8211760636472221</v>
      </c>
      <c r="FN9">
        <v>5.2485288842840268</v>
      </c>
      <c r="FO9">
        <v>5.128626020575191</v>
      </c>
      <c r="FP9">
        <v>5.277121474134236</v>
      </c>
      <c r="FQ9">
        <v>5.7339218205219931</v>
      </c>
      <c r="FR9">
        <v>5.4296673440734269</v>
      </c>
      <c r="FS9">
        <v>5.6861963527710611</v>
      </c>
      <c r="FT9">
        <v>5.413142349104346</v>
      </c>
      <c r="FU9">
        <v>5.6539389510894269</v>
      </c>
      <c r="FV9">
        <v>4.7400282805786604</v>
      </c>
      <c r="FW9">
        <v>5.2251634064389059</v>
      </c>
      <c r="FX9">
        <v>5.7503683459755264</v>
      </c>
      <c r="FY9">
        <v>5.9480541204643735</v>
      </c>
      <c r="FZ9">
        <v>4.719430062092429</v>
      </c>
      <c r="GA9">
        <v>5.2037905894788077</v>
      </c>
      <c r="GB9">
        <v>5.2242566735374441</v>
      </c>
      <c r="GC9">
        <v>6.1237368240860057</v>
      </c>
      <c r="GD9">
        <v>5.4634482162972873</v>
      </c>
      <c r="GE9">
        <v>5.4096915537846879</v>
      </c>
      <c r="GF9">
        <v>5.0991183475278987</v>
      </c>
      <c r="GG9">
        <v>6.3956436679474544</v>
      </c>
      <c r="GH9">
        <v>4.9525254873938866</v>
      </c>
      <c r="GI9">
        <v>5.0939568230625758</v>
      </c>
      <c r="GJ9">
        <v>5.5295704157749022</v>
      </c>
      <c r="GK9">
        <v>5.2477375789587395</v>
      </c>
      <c r="GL9">
        <v>4.8124066133812953</v>
      </c>
      <c r="GM9">
        <v>5.5531909452298756</v>
      </c>
      <c r="GN9">
        <v>6.1442083472691937</v>
      </c>
      <c r="GO9">
        <v>5.3186709302486328</v>
      </c>
      <c r="GP9">
        <v>4.7129195876478498</v>
      </c>
      <c r="GQ9">
        <v>6.0397182896159354</v>
      </c>
      <c r="GR9">
        <v>5.8469385226642627</v>
      </c>
      <c r="GS9">
        <v>5.5573923174278947</v>
      </c>
      <c r="GT9">
        <v>4.4426242081111305</v>
      </c>
      <c r="GU9">
        <v>4.6274814336222354</v>
      </c>
      <c r="GV9">
        <v>5.2969011162136059</v>
      </c>
      <c r="GW9">
        <v>5.0378552425540386</v>
      </c>
      <c r="GX9">
        <v>4.9162565604427133</v>
      </c>
      <c r="GY9">
        <v>5.4506040740603927</v>
      </c>
      <c r="GZ9">
        <v>5.1482615444867781</v>
      </c>
      <c r="HA9">
        <v>5.2529594167628355</v>
      </c>
      <c r="HB9">
        <v>5.2473989805789332</v>
      </c>
      <c r="HC9">
        <v>5.1633950045498764</v>
      </c>
      <c r="HD9">
        <v>5.2011432433623117</v>
      </c>
      <c r="HE9">
        <v>5.5522153351783547</v>
      </c>
      <c r="HF9">
        <v>5.5613129749269756</v>
      </c>
      <c r="HG9">
        <v>5.3055092702372901</v>
      </c>
      <c r="HH9">
        <v>5.1646801277555081</v>
      </c>
      <c r="HI9">
        <v>5.4147273411874188</v>
      </c>
      <c r="HJ9">
        <v>5.3747635085018057</v>
      </c>
      <c r="HK9">
        <v>5.6123591893973561</v>
      </c>
      <c r="HL9">
        <v>5.2446556158122561</v>
      </c>
      <c r="HM9">
        <v>5.1987275401957884</v>
      </c>
      <c r="HN9">
        <v>5.3788722105609388</v>
      </c>
      <c r="HO9">
        <v>5.1710097001002797</v>
      </c>
      <c r="HP9">
        <v>5.4384490725657768</v>
      </c>
      <c r="HQ9">
        <v>5.3753146151632656</v>
      </c>
      <c r="HR9">
        <v>5.163445071722407</v>
      </c>
      <c r="HS9">
        <v>5.1331964645991119</v>
      </c>
      <c r="HT9">
        <v>5.0874914033306045</v>
      </c>
      <c r="HU9">
        <v>6.1661010048611642</v>
      </c>
      <c r="HV9">
        <v>5.4781994777496514</v>
      </c>
      <c r="HW9">
        <v>5.2883109122150671</v>
      </c>
      <c r="HX9">
        <v>5.2646840196295832</v>
      </c>
      <c r="HY9">
        <v>5.3664052165583449</v>
      </c>
      <c r="HZ9">
        <v>5.3063001728272994</v>
      </c>
      <c r="IA9">
        <v>5.1707937490642255</v>
      </c>
      <c r="IB9">
        <v>5.3579865759340084</v>
      </c>
      <c r="IC9">
        <v>5.4397358799673743</v>
      </c>
      <c r="ID9">
        <v>5.2774642750879961</v>
      </c>
      <c r="IE9">
        <v>5.3292356083954306</v>
      </c>
      <c r="IF9">
        <v>5.0481321025620165</v>
      </c>
      <c r="IG9">
        <v>5.3327255028183327</v>
      </c>
      <c r="IH9">
        <v>5.482477136822073</v>
      </c>
      <c r="II9">
        <v>5.3214059553952842</v>
      </c>
      <c r="IJ9">
        <v>5.3152540573858946</v>
      </c>
      <c r="IK9">
        <v>5.2962285221850598</v>
      </c>
      <c r="IL9">
        <v>5.2334509456090217</v>
      </c>
      <c r="IM9">
        <v>5.3439240245105761</v>
      </c>
      <c r="IN9">
        <v>5.6490695835452129</v>
      </c>
      <c r="IO9">
        <v>5.4678059256368297</v>
      </c>
      <c r="IP9">
        <v>5.1273560426128899</v>
      </c>
      <c r="IQ9">
        <v>5.7190618196814551</v>
      </c>
      <c r="IR9">
        <v>5.0484908557002131</v>
      </c>
      <c r="IS9">
        <v>5.2305423864883789</v>
      </c>
      <c r="IT9">
        <v>6.1073955054460667</v>
      </c>
      <c r="IU9">
        <v>5.2576880474145025</v>
      </c>
      <c r="IV9">
        <v>5.4195202919090777</v>
      </c>
      <c r="IW9">
        <v>5.418189964162047</v>
      </c>
      <c r="IX9">
        <v>5.0290402568145174</v>
      </c>
      <c r="IY9">
        <v>5.1549000398717819</v>
      </c>
      <c r="IZ9">
        <v>5.4479238830037424</v>
      </c>
      <c r="JA9">
        <v>5.4713851137092551</v>
      </c>
      <c r="JB9">
        <v>4.5838376637425027</v>
      </c>
      <c r="JC9">
        <v>5.3636542778809213</v>
      </c>
      <c r="JD9">
        <v>4.909163806075882</v>
      </c>
      <c r="JK9" s="21"/>
      <c r="JL9" s="21"/>
      <c r="JM9" s="20"/>
      <c r="JN9" s="35"/>
      <c r="JO9" s="35"/>
      <c r="JP9" s="35"/>
      <c r="JQ9" s="41"/>
      <c r="JR9" s="35"/>
      <c r="JS9" s="35"/>
      <c r="JT9" s="35"/>
      <c r="JU9" s="35"/>
      <c r="JV9" s="35"/>
      <c r="JW9" s="35"/>
    </row>
    <row r="10" spans="1:283" ht="13.8" x14ac:dyDescent="0.3">
      <c r="A10" s="19" t="s">
        <v>11</v>
      </c>
      <c r="B10" s="18" t="s">
        <v>48</v>
      </c>
      <c r="C10" s="14">
        <v>34</v>
      </c>
      <c r="D10" s="13">
        <v>6.70148542</v>
      </c>
      <c r="E10" s="12">
        <v>6.5556893900000004</v>
      </c>
      <c r="F10">
        <v>6.0923292800000004</v>
      </c>
      <c r="G10">
        <v>6.9249573499999997</v>
      </c>
      <c r="H10">
        <v>6.6205922399999997</v>
      </c>
      <c r="I10">
        <v>7.1835418600000001</v>
      </c>
      <c r="J10">
        <v>6.7276934199999996</v>
      </c>
      <c r="K10">
        <v>5.9194472300000003</v>
      </c>
      <c r="L10">
        <v>6.9987511700000002</v>
      </c>
      <c r="M10">
        <v>6.3718844099999998</v>
      </c>
      <c r="N10">
        <v>6.2002691800000003</v>
      </c>
      <c r="O10">
        <v>8.1093075399999996</v>
      </c>
      <c r="P10">
        <v>6.0000465900000002</v>
      </c>
      <c r="Q10">
        <v>6.61814707</v>
      </c>
      <c r="R10">
        <v>6.7219023699999996</v>
      </c>
      <c r="S10">
        <v>7.1920543300000004</v>
      </c>
      <c r="T10">
        <v>6.8838106200000002</v>
      </c>
      <c r="U10">
        <v>6.1011390099999998</v>
      </c>
      <c r="V10">
        <v>6.81567598</v>
      </c>
      <c r="W10">
        <v>6.5333288999999999</v>
      </c>
      <c r="X10">
        <v>7.3082756199999999</v>
      </c>
      <c r="Y10">
        <v>6.61888436</v>
      </c>
      <c r="Z10">
        <v>5.8550546900000002</v>
      </c>
      <c r="AA10">
        <v>6.6636658400000002</v>
      </c>
      <c r="AB10">
        <v>6.7163171000000004</v>
      </c>
      <c r="AC10">
        <v>6.0883711099999998</v>
      </c>
      <c r="AD10">
        <v>7.9511971199999998</v>
      </c>
      <c r="AE10">
        <v>5.9414230200000002</v>
      </c>
      <c r="AF10">
        <v>6.9859547800000001</v>
      </c>
      <c r="AG10">
        <v>7.3539771199999997</v>
      </c>
      <c r="AH10">
        <v>6.2064973200000004</v>
      </c>
      <c r="AI10">
        <v>5.9860762300000001</v>
      </c>
      <c r="AJ10">
        <v>6.7127461999999998</v>
      </c>
      <c r="AK10">
        <v>6.6457265200000002</v>
      </c>
      <c r="AL10">
        <v>7.3384534400000003</v>
      </c>
      <c r="AM10">
        <v>7.0201709799999996</v>
      </c>
      <c r="AN10">
        <v>6.0270722699999997</v>
      </c>
      <c r="AO10">
        <v>6.7735152999999997</v>
      </c>
      <c r="AP10">
        <v>6.4507520200000004</v>
      </c>
      <c r="AQ10">
        <v>7.3025221499999997</v>
      </c>
      <c r="AR10">
        <v>6.71779934</v>
      </c>
      <c r="AS10">
        <v>5.6958747699999996</v>
      </c>
      <c r="AT10">
        <v>6.7296928500000002</v>
      </c>
      <c r="AU10">
        <v>6.6371893399999999</v>
      </c>
      <c r="AV10">
        <v>8.26858161</v>
      </c>
      <c r="AW10">
        <v>6.5856881600000001</v>
      </c>
      <c r="AX10">
        <v>6.2751962600000004</v>
      </c>
      <c r="AY10">
        <v>6.8063509099999999</v>
      </c>
      <c r="AZ10">
        <v>3.3965042200000002</v>
      </c>
      <c r="BA10">
        <v>6.5651112400000002</v>
      </c>
      <c r="BB10">
        <v>6.4422613899999996</v>
      </c>
      <c r="BC10">
        <v>8.5505787600000005</v>
      </c>
      <c r="BD10">
        <v>7.00406643</v>
      </c>
      <c r="BE10">
        <v>6.40483124</v>
      </c>
      <c r="BF10">
        <v>6.97180453</v>
      </c>
      <c r="BG10">
        <v>7.4566324799999997</v>
      </c>
      <c r="BH10">
        <v>6.6978780499999999</v>
      </c>
      <c r="BI10">
        <v>5.99499431</v>
      </c>
      <c r="BJ10">
        <v>6.6063388300000003</v>
      </c>
      <c r="BK10">
        <v>6.7119274200000003</v>
      </c>
      <c r="BL10">
        <v>7.2867596099999998</v>
      </c>
      <c r="BM10">
        <v>7.2416302100000003</v>
      </c>
      <c r="BN10">
        <v>6.2421193300000004</v>
      </c>
      <c r="BO10">
        <v>6.3058971899999996</v>
      </c>
      <c r="BP10">
        <v>7.4285643600000002</v>
      </c>
      <c r="BQ10">
        <v>6.6087906299999997</v>
      </c>
      <c r="BR10">
        <v>5.4032321000000003</v>
      </c>
      <c r="BS10">
        <v>6.6926012300000002</v>
      </c>
      <c r="BT10">
        <v>6.6201094400000002</v>
      </c>
      <c r="BU10">
        <v>7.7687860799999999</v>
      </c>
      <c r="BV10">
        <v>6.9529712400000001</v>
      </c>
      <c r="BW10">
        <v>6.0240453699999996</v>
      </c>
      <c r="BX10">
        <v>6.89150376</v>
      </c>
      <c r="BY10">
        <v>7.7618017000000004</v>
      </c>
      <c r="BZ10">
        <v>7.0526903699999997</v>
      </c>
      <c r="CA10">
        <v>5.8400529299999997</v>
      </c>
      <c r="CB10">
        <v>6.2617014400000004</v>
      </c>
      <c r="CC10">
        <v>7.4256343999999999</v>
      </c>
      <c r="CD10">
        <v>6.6063185100000004</v>
      </c>
      <c r="CE10">
        <v>6.1952172900000004</v>
      </c>
      <c r="CF10">
        <v>6.8440372399999996</v>
      </c>
      <c r="CG10">
        <v>6.8294262300000002</v>
      </c>
      <c r="CH10">
        <v>7.1466506599999997</v>
      </c>
      <c r="CI10">
        <v>6.4343540900000002</v>
      </c>
      <c r="CJ10">
        <v>5.9305427699999997</v>
      </c>
      <c r="CK10">
        <v>6.5662573799999997</v>
      </c>
      <c r="CL10">
        <v>6.7443369799999999</v>
      </c>
      <c r="CM10">
        <v>7.1782661299999999</v>
      </c>
      <c r="CN10">
        <v>7.0541344600000002</v>
      </c>
      <c r="CO10">
        <v>6.1366385599999997</v>
      </c>
      <c r="CP10">
        <v>6.5715554899999997</v>
      </c>
      <c r="CQ10">
        <v>7.1115877599999999</v>
      </c>
      <c r="CR10">
        <v>6.62902551</v>
      </c>
      <c r="CS10">
        <v>6.1582266800000003</v>
      </c>
      <c r="CT10">
        <v>6.9393524600000003</v>
      </c>
      <c r="CU10">
        <v>6.8917607199999997</v>
      </c>
      <c r="CV10">
        <v>6.1986622100000002</v>
      </c>
      <c r="CW10">
        <v>8.3263531700000009</v>
      </c>
      <c r="CX10">
        <v>5.9660133999999996</v>
      </c>
      <c r="CY10">
        <v>6.9772092600000004</v>
      </c>
      <c r="CZ10">
        <v>6.8947793800000001</v>
      </c>
      <c r="DA10">
        <v>7.4120414700000001</v>
      </c>
      <c r="DB10">
        <v>6.8471037399999997</v>
      </c>
      <c r="DC10">
        <v>5.89350036</v>
      </c>
      <c r="DD10">
        <v>6.61271451</v>
      </c>
      <c r="DE10">
        <v>6.56122213</v>
      </c>
      <c r="DF10">
        <v>5.9263939499999996</v>
      </c>
      <c r="DG10">
        <v>6.70148542</v>
      </c>
      <c r="DH10">
        <v>6.70148542</v>
      </c>
      <c r="DI10">
        <v>6.70148542</v>
      </c>
      <c r="DJ10">
        <v>6.70148542</v>
      </c>
      <c r="DK10">
        <v>6.0466184900000002</v>
      </c>
      <c r="DL10">
        <v>8.3224646399999997</v>
      </c>
      <c r="DM10">
        <v>5.7575307999999996</v>
      </c>
      <c r="DN10">
        <v>7.0346028900000004</v>
      </c>
      <c r="DO10">
        <v>6.8915673999999996</v>
      </c>
      <c r="DP10">
        <v>7.9943550999999999</v>
      </c>
      <c r="DQ10">
        <v>6.5725222399999996</v>
      </c>
      <c r="DR10">
        <v>6.3144429300000002</v>
      </c>
      <c r="DS10">
        <v>7.0097741999999998</v>
      </c>
      <c r="DT10">
        <v>6.8462177500000001</v>
      </c>
      <c r="DU10">
        <v>6.9819528999999996</v>
      </c>
      <c r="DV10">
        <v>7.0395871400000001</v>
      </c>
      <c r="DW10">
        <v>6.4292960199999998</v>
      </c>
      <c r="DX10">
        <v>7.0261049599999996</v>
      </c>
      <c r="DY10">
        <v>7.1308748</v>
      </c>
      <c r="DZ10">
        <v>6.4706187100000001</v>
      </c>
      <c r="EA10">
        <v>6.2495882800000002</v>
      </c>
      <c r="EB10">
        <v>6.6348205599999996</v>
      </c>
      <c r="EC10">
        <v>6.6855165699999999</v>
      </c>
      <c r="ED10">
        <v>7.4795759799999999</v>
      </c>
      <c r="EE10">
        <v>4.4219906800000004</v>
      </c>
      <c r="EF10">
        <v>7.7045111300000002</v>
      </c>
      <c r="EG10">
        <v>7.5924804999999997</v>
      </c>
      <c r="EH10">
        <v>7.0837527099999997</v>
      </c>
      <c r="EI10">
        <v>6.6948674800000001</v>
      </c>
      <c r="EJ10">
        <v>5.96260601</v>
      </c>
      <c r="EK10">
        <v>6.0577682399999997</v>
      </c>
      <c r="EL10">
        <v>6.78523692</v>
      </c>
      <c r="EM10">
        <v>6.9660211399999996</v>
      </c>
      <c r="EN10">
        <v>7.5195719199999997</v>
      </c>
      <c r="EO10">
        <v>7.2054285699999996</v>
      </c>
      <c r="EP10">
        <v>6.8234228799999999</v>
      </c>
      <c r="EQ10">
        <v>6.1772624900000004</v>
      </c>
      <c r="ER10">
        <v>6.77439839</v>
      </c>
      <c r="ES10">
        <v>5.8925716100000001</v>
      </c>
      <c r="ET10">
        <v>6.77998748</v>
      </c>
      <c r="EU10">
        <v>6.61376192</v>
      </c>
      <c r="EV10">
        <v>7.44917622</v>
      </c>
      <c r="EW10">
        <v>7.1154161499999997</v>
      </c>
      <c r="EX10">
        <v>6.4061220399999996</v>
      </c>
      <c r="EY10">
        <v>6.6019274299999999</v>
      </c>
      <c r="EZ10">
        <v>7.1003976299999998</v>
      </c>
      <c r="FA10">
        <v>6.28678925</v>
      </c>
      <c r="FB10">
        <v>6.9178839500000002</v>
      </c>
      <c r="FC10">
        <v>6.6061040200000001</v>
      </c>
      <c r="FD10">
        <v>7.2931883600000003</v>
      </c>
      <c r="FE10">
        <v>6.8521684399999998</v>
      </c>
      <c r="FF10">
        <v>6.6678545700000003</v>
      </c>
      <c r="FG10">
        <v>6.7001782900000002</v>
      </c>
      <c r="FH10">
        <v>6.4554193499999997</v>
      </c>
      <c r="FI10">
        <v>6.6361623500000002</v>
      </c>
      <c r="FJ10">
        <v>8.2350073199999994</v>
      </c>
      <c r="FK10">
        <v>5.4096284600000004</v>
      </c>
      <c r="FL10">
        <v>6.1748987800000004</v>
      </c>
      <c r="FM10">
        <v>7.42643159</v>
      </c>
      <c r="FN10">
        <v>6.73743202</v>
      </c>
      <c r="FO10">
        <v>6.1388427400000003</v>
      </c>
      <c r="FP10">
        <v>6.58999223</v>
      </c>
      <c r="FQ10">
        <v>7.2876941100000003</v>
      </c>
      <c r="FR10">
        <v>6.7546450900000004</v>
      </c>
      <c r="FS10">
        <v>6.9134257699999999</v>
      </c>
      <c r="FT10">
        <v>6.9244870499999998</v>
      </c>
      <c r="FU10">
        <v>7.05700576</v>
      </c>
      <c r="FV10">
        <v>6.08804897</v>
      </c>
      <c r="FW10">
        <v>6.5428102800000003</v>
      </c>
      <c r="FX10">
        <v>6.8989224299999998</v>
      </c>
      <c r="FY10">
        <v>7.4224477799999997</v>
      </c>
      <c r="FZ10">
        <v>6.0449190000000002</v>
      </c>
      <c r="GA10">
        <v>6.7183674699999996</v>
      </c>
      <c r="GB10">
        <v>6.4655528699999998</v>
      </c>
      <c r="GC10">
        <v>7.8307409300000002</v>
      </c>
      <c r="GD10">
        <v>7.0341277900000003</v>
      </c>
      <c r="GE10">
        <v>6.8340948399999997</v>
      </c>
      <c r="GF10">
        <v>6.4444209099999998</v>
      </c>
      <c r="GG10">
        <v>8.2212690199999994</v>
      </c>
      <c r="GH10">
        <v>5.8445601199999997</v>
      </c>
      <c r="GI10">
        <v>6.5504225099999998</v>
      </c>
      <c r="GJ10">
        <v>6.9031918599999997</v>
      </c>
      <c r="GK10">
        <v>6.5619200299999996</v>
      </c>
      <c r="GL10">
        <v>6.0431601199999996</v>
      </c>
      <c r="GM10">
        <v>6.9966168299999998</v>
      </c>
      <c r="GN10">
        <v>7.8199942800000004</v>
      </c>
      <c r="GO10">
        <v>6.8669696</v>
      </c>
      <c r="GP10">
        <v>5.6126406700000002</v>
      </c>
      <c r="GQ10">
        <v>7.7867366499999999</v>
      </c>
      <c r="GR10">
        <v>6.8644461000000003</v>
      </c>
      <c r="GS10">
        <v>7.0852171899999998</v>
      </c>
      <c r="GT10">
        <v>3.98085676</v>
      </c>
      <c r="GU10">
        <v>5.6139387999999997</v>
      </c>
      <c r="GV10">
        <v>6.8388095099999999</v>
      </c>
      <c r="GW10">
        <v>6.4192722599999996</v>
      </c>
      <c r="GX10">
        <v>6.0775797899999997</v>
      </c>
      <c r="GY10">
        <v>6.9778350800000002</v>
      </c>
      <c r="GZ10">
        <v>6.3800924500000002</v>
      </c>
      <c r="HA10">
        <v>6.7302277000000004</v>
      </c>
      <c r="HB10">
        <v>6.7181787899999996</v>
      </c>
      <c r="HC10">
        <v>6.2448535600000001</v>
      </c>
      <c r="HD10">
        <v>6.5332518899999998</v>
      </c>
      <c r="HE10">
        <v>7.0223804799999998</v>
      </c>
      <c r="HF10">
        <v>7.1549656300000004</v>
      </c>
      <c r="HG10">
        <v>6.6759683399999998</v>
      </c>
      <c r="HH10">
        <v>6.1064134699999997</v>
      </c>
      <c r="HI10">
        <v>6.7804108000000003</v>
      </c>
      <c r="HJ10">
        <v>6.7754472699999999</v>
      </c>
      <c r="HK10">
        <v>7.1951251000000003</v>
      </c>
      <c r="HL10">
        <v>6.6075855700000004</v>
      </c>
      <c r="HM10">
        <v>6.4011308700000003</v>
      </c>
      <c r="HN10">
        <v>6.7054799799999998</v>
      </c>
      <c r="HO10">
        <v>6.4974200099999999</v>
      </c>
      <c r="HP10">
        <v>6.9054887699999998</v>
      </c>
      <c r="HQ10">
        <v>6.7141054899999997</v>
      </c>
      <c r="HR10">
        <v>6.3359006200000003</v>
      </c>
      <c r="HS10">
        <v>6.5410453999999998</v>
      </c>
      <c r="HT10">
        <v>6.1575050300000003</v>
      </c>
      <c r="HU10">
        <v>7.8726052400000004</v>
      </c>
      <c r="HV10">
        <v>6.91838453</v>
      </c>
      <c r="HW10">
        <v>6.6847965199999999</v>
      </c>
      <c r="HX10">
        <v>6.5622152500000004</v>
      </c>
      <c r="HY10">
        <v>6.7927094700000001</v>
      </c>
      <c r="HZ10">
        <v>6.6361631399999998</v>
      </c>
      <c r="IA10">
        <v>6.2071835000000002</v>
      </c>
      <c r="IB10">
        <v>6.6961328800000004</v>
      </c>
      <c r="IC10">
        <v>6.7638666299999999</v>
      </c>
      <c r="ID10">
        <v>6.8136672100000002</v>
      </c>
      <c r="IE10">
        <v>6.7021348999999999</v>
      </c>
      <c r="IF10">
        <v>6.1221068599999997</v>
      </c>
      <c r="IG10">
        <v>6.7093397699999997</v>
      </c>
      <c r="IH10">
        <v>6.9428050299999997</v>
      </c>
      <c r="II10">
        <v>6.86289836</v>
      </c>
      <c r="IJ10">
        <v>6.7050813399999996</v>
      </c>
      <c r="IK10">
        <v>6.4698827000000003</v>
      </c>
      <c r="IL10">
        <v>6.6888780499999996</v>
      </c>
      <c r="IM10">
        <v>6.6989229799999999</v>
      </c>
      <c r="IN10">
        <v>7.1953576999999997</v>
      </c>
      <c r="IO10">
        <v>6.8769216899999996</v>
      </c>
      <c r="IP10">
        <v>6.4121302099999999</v>
      </c>
      <c r="IQ10">
        <v>7.2372265799999997</v>
      </c>
      <c r="IR10">
        <v>5.7493189200000003</v>
      </c>
      <c r="IS10">
        <v>6.7659073300000001</v>
      </c>
      <c r="IT10">
        <v>7.8872151099999996</v>
      </c>
      <c r="IU10">
        <v>6.4634967799999998</v>
      </c>
      <c r="IV10">
        <v>6.7966165700000003</v>
      </c>
      <c r="IW10">
        <v>6.9253888699999999</v>
      </c>
      <c r="IX10">
        <v>6.3797814600000002</v>
      </c>
      <c r="IY10">
        <v>6.4629447799999999</v>
      </c>
      <c r="IZ10">
        <v>6.7680543599999998</v>
      </c>
      <c r="JA10">
        <v>7.0386404899999997</v>
      </c>
      <c r="JB10">
        <v>5.7981536599999997</v>
      </c>
      <c r="JC10">
        <v>6.7619692499999999</v>
      </c>
      <c r="JD10">
        <v>6.1036389299999998</v>
      </c>
      <c r="JK10" s="21"/>
      <c r="JL10" s="21"/>
      <c r="JM10" s="20"/>
      <c r="JN10" s="35"/>
      <c r="JO10" s="35"/>
      <c r="JP10" s="35"/>
      <c r="JQ10" s="41"/>
      <c r="JR10" s="35"/>
      <c r="JS10" s="35"/>
      <c r="JT10" s="35"/>
      <c r="JU10" s="35"/>
      <c r="JV10" s="35"/>
      <c r="JW10" s="35"/>
    </row>
    <row r="11" spans="1:283" ht="13.8" x14ac:dyDescent="0.3">
      <c r="A11" s="19" t="s">
        <v>11</v>
      </c>
      <c r="B11" s="18" t="s">
        <v>48</v>
      </c>
      <c r="C11" s="14">
        <v>66</v>
      </c>
      <c r="D11" s="13">
        <v>6.8164819300000001</v>
      </c>
      <c r="E11" s="12">
        <v>6.6845026799999996</v>
      </c>
      <c r="F11">
        <v>6.4620313600000001</v>
      </c>
      <c r="G11">
        <v>7.0374609499999998</v>
      </c>
      <c r="H11">
        <v>6.7852894399999997</v>
      </c>
      <c r="I11">
        <v>6.9847747599999996</v>
      </c>
      <c r="J11">
        <v>6.7770936099999997</v>
      </c>
      <c r="K11">
        <v>6.3592509499999998</v>
      </c>
      <c r="L11">
        <v>6.9915469100000003</v>
      </c>
      <c r="M11">
        <v>6.5328041099999998</v>
      </c>
      <c r="N11">
        <v>6.5068848099999999</v>
      </c>
      <c r="O11">
        <v>7.6320650199999998</v>
      </c>
      <c r="P11">
        <v>6.4634747700000004</v>
      </c>
      <c r="Q11">
        <v>6.7526046099999997</v>
      </c>
      <c r="R11">
        <v>6.8311949399999996</v>
      </c>
      <c r="S11">
        <v>7.1111981100000001</v>
      </c>
      <c r="T11">
        <v>6.9983925600000001</v>
      </c>
      <c r="U11">
        <v>6.4075966299999996</v>
      </c>
      <c r="V11">
        <v>6.9138297099999999</v>
      </c>
      <c r="W11">
        <v>6.6624521100000003</v>
      </c>
      <c r="X11">
        <v>7.2135853499999998</v>
      </c>
      <c r="Y11">
        <v>6.7279968600000002</v>
      </c>
      <c r="Z11">
        <v>6.15559981</v>
      </c>
      <c r="AA11">
        <v>6.7790568000000002</v>
      </c>
      <c r="AB11">
        <v>6.7807460300000004</v>
      </c>
      <c r="AC11">
        <v>6.5189663800000002</v>
      </c>
      <c r="AD11">
        <v>7.5711754500000001</v>
      </c>
      <c r="AE11">
        <v>6.2418667900000004</v>
      </c>
      <c r="AF11">
        <v>6.9345127800000004</v>
      </c>
      <c r="AG11">
        <v>7.1869881400000004</v>
      </c>
      <c r="AH11">
        <v>6.5235428400000002</v>
      </c>
      <c r="AI11">
        <v>6.3910560199999997</v>
      </c>
      <c r="AJ11">
        <v>6.8121439099999996</v>
      </c>
      <c r="AK11">
        <v>6.8518254299999999</v>
      </c>
      <c r="AL11">
        <v>7.1970984800000002</v>
      </c>
      <c r="AM11">
        <v>7.04558266</v>
      </c>
      <c r="AN11">
        <v>6.4910379200000001</v>
      </c>
      <c r="AO11">
        <v>6.8951179399999996</v>
      </c>
      <c r="AP11">
        <v>6.5642510999999999</v>
      </c>
      <c r="AQ11">
        <v>7.1201744500000004</v>
      </c>
      <c r="AR11">
        <v>6.82577648</v>
      </c>
      <c r="AS11">
        <v>6.12628459</v>
      </c>
      <c r="AT11">
        <v>6.8204362700000001</v>
      </c>
      <c r="AU11">
        <v>6.77181634</v>
      </c>
      <c r="AV11">
        <v>7.87020476</v>
      </c>
      <c r="AW11">
        <v>6.7230602599999996</v>
      </c>
      <c r="AX11">
        <v>6.6008689900000004</v>
      </c>
      <c r="AY11">
        <v>6.8808216199999999</v>
      </c>
      <c r="AZ11">
        <v>4.7336368200000001</v>
      </c>
      <c r="BA11">
        <v>6.7014632299999999</v>
      </c>
      <c r="BB11">
        <v>6.6731169599999998</v>
      </c>
      <c r="BC11">
        <v>7.81741318</v>
      </c>
      <c r="BD11">
        <v>6.8392683099999996</v>
      </c>
      <c r="BE11">
        <v>6.6597061499999999</v>
      </c>
      <c r="BF11">
        <v>6.99311054</v>
      </c>
      <c r="BG11">
        <v>7.2675151700000002</v>
      </c>
      <c r="BH11">
        <v>6.8783474900000003</v>
      </c>
      <c r="BI11">
        <v>6.3746239500000001</v>
      </c>
      <c r="BJ11">
        <v>6.7230600699999998</v>
      </c>
      <c r="BK11">
        <v>6.8328382400000001</v>
      </c>
      <c r="BL11">
        <v>7.1115048300000003</v>
      </c>
      <c r="BM11">
        <v>7.2496251699999998</v>
      </c>
      <c r="BN11">
        <v>6.6380601099999996</v>
      </c>
      <c r="BO11">
        <v>6.5590065199999996</v>
      </c>
      <c r="BP11">
        <v>7.1451574200000003</v>
      </c>
      <c r="BQ11">
        <v>6.6925584599999999</v>
      </c>
      <c r="BR11">
        <v>6.0920625599999996</v>
      </c>
      <c r="BS11">
        <v>6.77316056</v>
      </c>
      <c r="BT11">
        <v>6.7009254599999997</v>
      </c>
      <c r="BU11">
        <v>7.5681054799999998</v>
      </c>
      <c r="BV11">
        <v>7.0276758600000004</v>
      </c>
      <c r="BW11">
        <v>6.3905373900000004</v>
      </c>
      <c r="BX11">
        <v>6.9416848499999997</v>
      </c>
      <c r="BY11">
        <v>7.46038756</v>
      </c>
      <c r="BZ11">
        <v>7.0882235400000004</v>
      </c>
      <c r="CA11">
        <v>6.3219711299999997</v>
      </c>
      <c r="CB11">
        <v>6.5000847400000001</v>
      </c>
      <c r="CC11">
        <v>7.20454522</v>
      </c>
      <c r="CD11">
        <v>6.6797808700000001</v>
      </c>
      <c r="CE11">
        <v>6.5534851999999999</v>
      </c>
      <c r="CF11">
        <v>7.0440035999999999</v>
      </c>
      <c r="CG11">
        <v>6.9042754799999999</v>
      </c>
      <c r="CH11">
        <v>7.0652655900000001</v>
      </c>
      <c r="CI11">
        <v>6.5665676599999996</v>
      </c>
      <c r="CJ11">
        <v>6.2115449199999997</v>
      </c>
      <c r="CK11">
        <v>6.7582952399999998</v>
      </c>
      <c r="CL11">
        <v>6.8792773</v>
      </c>
      <c r="CM11">
        <v>6.9069941999999998</v>
      </c>
      <c r="CN11">
        <v>7.0917170599999997</v>
      </c>
      <c r="CO11">
        <v>6.5696187400000001</v>
      </c>
      <c r="CP11">
        <v>6.8789819799999998</v>
      </c>
      <c r="CQ11">
        <v>6.9342840199999998</v>
      </c>
      <c r="CR11">
        <v>6.7583397300000003</v>
      </c>
      <c r="CS11">
        <v>6.5821392000000003</v>
      </c>
      <c r="CT11">
        <v>7.0541502200000004</v>
      </c>
      <c r="CU11">
        <v>6.9995030099999997</v>
      </c>
      <c r="CV11">
        <v>6.6897538900000004</v>
      </c>
      <c r="CW11">
        <v>7.71754812</v>
      </c>
      <c r="CX11">
        <v>6.55175324</v>
      </c>
      <c r="CY11">
        <v>7.0920915600000001</v>
      </c>
      <c r="CZ11">
        <v>7.0098724499999996</v>
      </c>
      <c r="DA11">
        <v>7.3056253</v>
      </c>
      <c r="DB11">
        <v>6.96630707</v>
      </c>
      <c r="DC11">
        <v>6.25750078</v>
      </c>
      <c r="DD11">
        <v>6.7733827599999996</v>
      </c>
      <c r="DE11">
        <v>6.6602039399999997</v>
      </c>
      <c r="DF11">
        <v>6.2919231199999999</v>
      </c>
      <c r="DG11">
        <v>6.8164819300000001</v>
      </c>
      <c r="DH11">
        <v>6.8164819300000001</v>
      </c>
      <c r="DI11">
        <v>6.8164819300000001</v>
      </c>
      <c r="DJ11">
        <v>6.8164819300000001</v>
      </c>
      <c r="DK11">
        <v>6.34802789</v>
      </c>
      <c r="DL11">
        <v>7.5381520899999996</v>
      </c>
      <c r="DM11">
        <v>6.2470497800000002</v>
      </c>
      <c r="DN11">
        <v>7.0604405000000003</v>
      </c>
      <c r="DO11">
        <v>6.9708534599999998</v>
      </c>
      <c r="DP11">
        <v>7.8633035299999996</v>
      </c>
      <c r="DQ11">
        <v>6.7415116900000003</v>
      </c>
      <c r="DR11">
        <v>6.7833508199999999</v>
      </c>
      <c r="DS11">
        <v>7.1836886399999997</v>
      </c>
      <c r="DT11">
        <v>7.0593268399999998</v>
      </c>
      <c r="DU11">
        <v>6.8448941999999997</v>
      </c>
      <c r="DV11">
        <v>7.1260432299999996</v>
      </c>
      <c r="DW11">
        <v>6.8109397200000004</v>
      </c>
      <c r="DX11">
        <v>6.94861738</v>
      </c>
      <c r="DY11">
        <v>7.1347658200000001</v>
      </c>
      <c r="DZ11">
        <v>6.71444347</v>
      </c>
      <c r="EA11">
        <v>6.7198526100000002</v>
      </c>
      <c r="EB11">
        <v>6.7745586099999997</v>
      </c>
      <c r="EC11">
        <v>6.8681708199999996</v>
      </c>
      <c r="ED11">
        <v>7.4125829000000003</v>
      </c>
      <c r="EE11">
        <v>5.3079875100000002</v>
      </c>
      <c r="EF11">
        <v>7.7039483200000003</v>
      </c>
      <c r="EG11">
        <v>7.2336642299999996</v>
      </c>
      <c r="EH11">
        <v>7.3859271499999997</v>
      </c>
      <c r="EI11">
        <v>6.41017846</v>
      </c>
      <c r="EJ11">
        <v>5.9040696700000002</v>
      </c>
      <c r="EK11">
        <v>6.4405580000000002</v>
      </c>
      <c r="EL11">
        <v>6.81747441</v>
      </c>
      <c r="EM11">
        <v>7.13371128</v>
      </c>
      <c r="EN11">
        <v>7.3046713600000004</v>
      </c>
      <c r="EO11">
        <v>7.1689790000000002</v>
      </c>
      <c r="EP11">
        <v>6.8092095700000002</v>
      </c>
      <c r="EQ11">
        <v>6.3323655099999998</v>
      </c>
      <c r="ER11">
        <v>6.9069033400000004</v>
      </c>
      <c r="ES11">
        <v>6.3905719200000002</v>
      </c>
      <c r="ET11">
        <v>6.9497991800000003</v>
      </c>
      <c r="EU11">
        <v>6.6606384800000002</v>
      </c>
      <c r="EV11">
        <v>7.3351573300000004</v>
      </c>
      <c r="EW11">
        <v>7.1504611999999996</v>
      </c>
      <c r="EX11">
        <v>6.6616110500000003</v>
      </c>
      <c r="EY11">
        <v>6.7494976299999996</v>
      </c>
      <c r="EZ11">
        <v>7.1030407599999998</v>
      </c>
      <c r="FA11">
        <v>6.46629378</v>
      </c>
      <c r="FB11">
        <v>7.0582512499999996</v>
      </c>
      <c r="FC11">
        <v>6.7634919299999998</v>
      </c>
      <c r="FD11">
        <v>7.1663049799999996</v>
      </c>
      <c r="FE11">
        <v>6.9950935300000001</v>
      </c>
      <c r="FF11">
        <v>6.8370096</v>
      </c>
      <c r="FG11">
        <v>6.8800187099999999</v>
      </c>
      <c r="FH11">
        <v>6.5364731000000003</v>
      </c>
      <c r="FI11">
        <v>6.92596072</v>
      </c>
      <c r="FJ11">
        <v>7.9312306299999999</v>
      </c>
      <c r="FK11">
        <v>5.9715803899999997</v>
      </c>
      <c r="FL11">
        <v>6.1859697799999998</v>
      </c>
      <c r="FM11">
        <v>7.1580388900000003</v>
      </c>
      <c r="FN11">
        <v>6.6950977399999996</v>
      </c>
      <c r="FO11">
        <v>6.4807468899999998</v>
      </c>
      <c r="FP11">
        <v>6.8002884000000003</v>
      </c>
      <c r="FQ11">
        <v>7.1174909499999996</v>
      </c>
      <c r="FR11">
        <v>6.9717415699999998</v>
      </c>
      <c r="FS11">
        <v>7.26617201</v>
      </c>
      <c r="FT11">
        <v>7.0021073899999999</v>
      </c>
      <c r="FU11">
        <v>7.2230393499999996</v>
      </c>
      <c r="FV11">
        <v>6.1055377399999999</v>
      </c>
      <c r="FW11">
        <v>6.6813371100000003</v>
      </c>
      <c r="FX11">
        <v>7.3100840900000001</v>
      </c>
      <c r="FY11">
        <v>7.6034886100000003</v>
      </c>
      <c r="FZ11">
        <v>6.0659577699999998</v>
      </c>
      <c r="GA11">
        <v>6.6568555700000003</v>
      </c>
      <c r="GB11">
        <v>6.6930996</v>
      </c>
      <c r="GC11">
        <v>7.7281507300000003</v>
      </c>
      <c r="GD11">
        <v>7.0671799599999998</v>
      </c>
      <c r="GE11">
        <v>6.9847082699999996</v>
      </c>
      <c r="GF11">
        <v>6.55709914</v>
      </c>
      <c r="GG11">
        <v>7.8998084500000001</v>
      </c>
      <c r="GH11">
        <v>6.2007627899999997</v>
      </c>
      <c r="GI11">
        <v>6.5055960700000002</v>
      </c>
      <c r="GJ11">
        <v>7.07509926</v>
      </c>
      <c r="GK11">
        <v>6.74934382</v>
      </c>
      <c r="GL11">
        <v>6.16035574</v>
      </c>
      <c r="GM11">
        <v>7.06684717</v>
      </c>
      <c r="GN11">
        <v>7.9218985499999999</v>
      </c>
      <c r="GO11">
        <v>6.7790393299999998</v>
      </c>
      <c r="GP11">
        <v>5.9384924699999999</v>
      </c>
      <c r="GQ11">
        <v>7.6709199200000002</v>
      </c>
      <c r="GR11">
        <v>7.3639642900000002</v>
      </c>
      <c r="GS11">
        <v>6.9172712599999997</v>
      </c>
      <c r="GT11">
        <v>4.5403587300000003</v>
      </c>
      <c r="GU11">
        <v>5.8324426899999997</v>
      </c>
      <c r="GV11">
        <v>6.73371605</v>
      </c>
      <c r="GW11">
        <v>6.5037237299999999</v>
      </c>
      <c r="GX11">
        <v>6.3205603999999997</v>
      </c>
      <c r="GY11">
        <v>6.9858886499999997</v>
      </c>
      <c r="GZ11">
        <v>6.5818615999999999</v>
      </c>
      <c r="HA11">
        <v>6.6405693399999999</v>
      </c>
      <c r="HB11">
        <v>6.74890583</v>
      </c>
      <c r="HC11">
        <v>6.5284894199999997</v>
      </c>
      <c r="HD11">
        <v>6.7278784099999998</v>
      </c>
      <c r="HE11">
        <v>7.1302621000000004</v>
      </c>
      <c r="HF11">
        <v>7.1167211699999999</v>
      </c>
      <c r="HG11">
        <v>6.8240737200000003</v>
      </c>
      <c r="HH11">
        <v>6.4740390699999999</v>
      </c>
      <c r="HI11">
        <v>6.8748037999999996</v>
      </c>
      <c r="HJ11">
        <v>6.8619152000000003</v>
      </c>
      <c r="HK11">
        <v>7.0883111999999997</v>
      </c>
      <c r="HL11">
        <v>6.7712279500000001</v>
      </c>
      <c r="HM11">
        <v>6.6613042399999998</v>
      </c>
      <c r="HN11">
        <v>6.8542945800000004</v>
      </c>
      <c r="HO11">
        <v>6.6371579799999996</v>
      </c>
      <c r="HP11">
        <v>6.8541837299999999</v>
      </c>
      <c r="HQ11">
        <v>6.8367573100000003</v>
      </c>
      <c r="HR11">
        <v>6.5497605400000003</v>
      </c>
      <c r="HS11">
        <v>6.62705126</v>
      </c>
      <c r="HT11">
        <v>6.4559000500000003</v>
      </c>
      <c r="HU11">
        <v>7.6591249299999999</v>
      </c>
      <c r="HV11">
        <v>7.0086489800000003</v>
      </c>
      <c r="HW11">
        <v>6.7888916000000004</v>
      </c>
      <c r="HX11">
        <v>6.7324585399999997</v>
      </c>
      <c r="HY11">
        <v>6.8899095800000003</v>
      </c>
      <c r="HZ11">
        <v>6.7474844799999998</v>
      </c>
      <c r="IA11">
        <v>6.5156192500000003</v>
      </c>
      <c r="IB11">
        <v>6.8272782100000002</v>
      </c>
      <c r="IC11">
        <v>6.9588948400000001</v>
      </c>
      <c r="ID11">
        <v>6.7445270700000002</v>
      </c>
      <c r="IE11">
        <v>6.7900877299999998</v>
      </c>
      <c r="IF11">
        <v>6.4083813100000002</v>
      </c>
      <c r="IG11">
        <v>6.8204728100000001</v>
      </c>
      <c r="IH11">
        <v>7.0271176799999999</v>
      </c>
      <c r="II11">
        <v>6.8705074599999998</v>
      </c>
      <c r="IJ11">
        <v>6.8496143600000003</v>
      </c>
      <c r="IK11">
        <v>6.7690592900000004</v>
      </c>
      <c r="IL11">
        <v>6.6920573599999997</v>
      </c>
      <c r="IM11">
        <v>6.8090877599999997</v>
      </c>
      <c r="IN11">
        <v>7.2296760200000003</v>
      </c>
      <c r="IO11">
        <v>6.9563983699999996</v>
      </c>
      <c r="IP11">
        <v>6.6194964499999998</v>
      </c>
      <c r="IQ11">
        <v>7.3072782800000002</v>
      </c>
      <c r="IR11">
        <v>6.2788988200000002</v>
      </c>
      <c r="IS11">
        <v>6.6254391400000001</v>
      </c>
      <c r="IT11">
        <v>7.6450880300000001</v>
      </c>
      <c r="IU11">
        <v>6.6846028300000002</v>
      </c>
      <c r="IV11">
        <v>6.9974221200000004</v>
      </c>
      <c r="IW11">
        <v>6.9957012900000004</v>
      </c>
      <c r="IX11">
        <v>6.46645044</v>
      </c>
      <c r="IY11">
        <v>6.6292549000000003</v>
      </c>
      <c r="IZ11">
        <v>6.9824217199999996</v>
      </c>
      <c r="JA11">
        <v>7.02530974</v>
      </c>
      <c r="JB11">
        <v>5.9293699499999999</v>
      </c>
      <c r="JC11">
        <v>6.8346096000000003</v>
      </c>
      <c r="JD11">
        <v>6.3113856500000001</v>
      </c>
      <c r="JK11" s="21"/>
      <c r="JL11" s="21"/>
      <c r="JM11" s="20"/>
      <c r="JN11" s="35"/>
      <c r="JO11" s="35"/>
      <c r="JP11" s="35"/>
      <c r="JQ11" s="41"/>
      <c r="JR11" s="35"/>
      <c r="JS11" s="35"/>
      <c r="JT11" s="35"/>
      <c r="JU11" s="35"/>
      <c r="JV11" s="35"/>
      <c r="JW11" s="35"/>
    </row>
    <row r="12" spans="1:283" ht="13.8" x14ac:dyDescent="0.3">
      <c r="A12" s="19" t="s">
        <v>11</v>
      </c>
      <c r="B12" s="18" t="s">
        <v>48</v>
      </c>
      <c r="C12" s="14">
        <v>96</v>
      </c>
      <c r="D12" s="13">
        <v>6.7174123000000003</v>
      </c>
      <c r="E12" s="12">
        <v>6.5965555900000004</v>
      </c>
      <c r="F12">
        <v>6.56935672</v>
      </c>
      <c r="G12">
        <v>6.9369833200000004</v>
      </c>
      <c r="H12">
        <v>6.7260351500000004</v>
      </c>
      <c r="I12">
        <v>6.6353727200000003</v>
      </c>
      <c r="J12">
        <v>6.6258500600000003</v>
      </c>
      <c r="K12">
        <v>6.5170366199999998</v>
      </c>
      <c r="L12">
        <v>6.7982135100000001</v>
      </c>
      <c r="M12">
        <v>6.4675443000000001</v>
      </c>
      <c r="N12">
        <v>6.5574222200000003</v>
      </c>
      <c r="O12">
        <v>7.0550021200000002</v>
      </c>
      <c r="P12">
        <v>6.6413013300000001</v>
      </c>
      <c r="Q12">
        <v>6.6665439700000002</v>
      </c>
      <c r="R12">
        <v>6.72636726</v>
      </c>
      <c r="S12">
        <v>6.85639018</v>
      </c>
      <c r="T12">
        <v>6.90028197</v>
      </c>
      <c r="U12">
        <v>6.4599165599999999</v>
      </c>
      <c r="V12">
        <v>6.8033191000000004</v>
      </c>
      <c r="W12">
        <v>6.5744468200000004</v>
      </c>
      <c r="X12">
        <v>6.9447972900000003</v>
      </c>
      <c r="Y12">
        <v>6.6236754500000004</v>
      </c>
      <c r="Z12">
        <v>6.2048242299999998</v>
      </c>
      <c r="AA12">
        <v>6.6796249100000002</v>
      </c>
      <c r="AB12">
        <v>6.6403578699999999</v>
      </c>
      <c r="AC12">
        <v>6.6746486899999997</v>
      </c>
      <c r="AD12">
        <v>7.0710730499999999</v>
      </c>
      <c r="AE12">
        <v>6.29148072</v>
      </c>
      <c r="AF12">
        <v>6.70030576</v>
      </c>
      <c r="AG12">
        <v>6.8641500200000003</v>
      </c>
      <c r="AH12">
        <v>6.5890240799999997</v>
      </c>
      <c r="AI12">
        <v>6.5236788499999996</v>
      </c>
      <c r="AJ12">
        <v>6.7045409500000002</v>
      </c>
      <c r="AK12">
        <v>6.8216530899999999</v>
      </c>
      <c r="AL12">
        <v>6.8969366299999999</v>
      </c>
      <c r="AM12">
        <v>6.87324599</v>
      </c>
      <c r="AN12">
        <v>6.6710346200000004</v>
      </c>
      <c r="AO12">
        <v>6.80272612</v>
      </c>
      <c r="AP12">
        <v>6.4664893599999997</v>
      </c>
      <c r="AQ12">
        <v>6.7787672499999996</v>
      </c>
      <c r="AR12">
        <v>6.7211438699999997</v>
      </c>
      <c r="AS12">
        <v>6.2810377300000004</v>
      </c>
      <c r="AT12">
        <v>6.7040191599999996</v>
      </c>
      <c r="AU12">
        <v>6.6882150600000001</v>
      </c>
      <c r="AV12">
        <v>7.3589462499999998</v>
      </c>
      <c r="AW12">
        <v>6.6436119500000004</v>
      </c>
      <c r="AX12">
        <v>6.6745236400000003</v>
      </c>
      <c r="AY12">
        <v>6.7509924799999999</v>
      </c>
      <c r="AZ12">
        <v>5.6174434800000004</v>
      </c>
      <c r="BA12">
        <v>6.6142677900000004</v>
      </c>
      <c r="BB12">
        <v>6.66545744</v>
      </c>
      <c r="BC12">
        <v>7.0458321499999998</v>
      </c>
      <c r="BD12">
        <v>6.50776369</v>
      </c>
      <c r="BE12">
        <v>6.6736190799999999</v>
      </c>
      <c r="BF12">
        <v>6.8212971400000004</v>
      </c>
      <c r="BG12">
        <v>6.9324405999999996</v>
      </c>
      <c r="BH12">
        <v>6.83109184</v>
      </c>
      <c r="BI12">
        <v>6.4907789200000003</v>
      </c>
      <c r="BJ12">
        <v>6.6239529399999997</v>
      </c>
      <c r="BK12">
        <v>6.7417069300000003</v>
      </c>
      <c r="BL12">
        <v>6.7854275199999998</v>
      </c>
      <c r="BM12">
        <v>7.0658482999999999</v>
      </c>
      <c r="BN12">
        <v>6.7624217599999996</v>
      </c>
      <c r="BO12">
        <v>6.5686236300000003</v>
      </c>
      <c r="BP12">
        <v>6.72982499</v>
      </c>
      <c r="BQ12">
        <v>6.5670241599999999</v>
      </c>
      <c r="BR12">
        <v>6.4484740199999999</v>
      </c>
      <c r="BS12">
        <v>6.6470571100000004</v>
      </c>
      <c r="BT12">
        <v>6.5783027199999999</v>
      </c>
      <c r="BU12">
        <v>7.2113790199999999</v>
      </c>
      <c r="BV12">
        <v>6.8961328000000002</v>
      </c>
      <c r="BW12">
        <v>6.4873841199999998</v>
      </c>
      <c r="BX12">
        <v>6.7933964199999997</v>
      </c>
      <c r="BY12">
        <v>7.0269147199999997</v>
      </c>
      <c r="BZ12">
        <v>6.9278322899999996</v>
      </c>
      <c r="CA12">
        <v>6.5199819200000002</v>
      </c>
      <c r="CB12">
        <v>6.5016256200000004</v>
      </c>
      <c r="CC12">
        <v>6.8346854300000004</v>
      </c>
      <c r="CD12">
        <v>6.54464997</v>
      </c>
      <c r="CE12">
        <v>6.6578458999999999</v>
      </c>
      <c r="CF12">
        <v>7.0067011800000003</v>
      </c>
      <c r="CG12">
        <v>6.7755349200000001</v>
      </c>
      <c r="CH12">
        <v>6.8099853399999999</v>
      </c>
      <c r="CI12">
        <v>6.4857022400000002</v>
      </c>
      <c r="CJ12">
        <v>6.2448459300000003</v>
      </c>
      <c r="CK12">
        <v>6.7207290300000002</v>
      </c>
      <c r="CL12">
        <v>6.7925279400000003</v>
      </c>
      <c r="CM12">
        <v>6.50222181</v>
      </c>
      <c r="CN12">
        <v>6.93064196</v>
      </c>
      <c r="CO12">
        <v>6.7189473299999998</v>
      </c>
      <c r="CP12">
        <v>6.9349491099999998</v>
      </c>
      <c r="CQ12">
        <v>6.6016478799999998</v>
      </c>
      <c r="CR12">
        <v>6.6709183100000002</v>
      </c>
      <c r="CS12">
        <v>6.72548367</v>
      </c>
      <c r="CT12">
        <v>6.9513140499999997</v>
      </c>
      <c r="CU12">
        <v>6.8896844799999997</v>
      </c>
      <c r="CV12">
        <v>6.8857625699999998</v>
      </c>
      <c r="CW12">
        <v>7.0399299600000003</v>
      </c>
      <c r="CX12">
        <v>6.8240443400000004</v>
      </c>
      <c r="CY12">
        <v>6.9892783500000002</v>
      </c>
      <c r="CZ12">
        <v>6.9033896800000001</v>
      </c>
      <c r="DA12">
        <v>7.0320750500000004</v>
      </c>
      <c r="DB12">
        <v>6.8720124699999996</v>
      </c>
      <c r="DC12">
        <v>6.3583414700000001</v>
      </c>
      <c r="DD12">
        <v>6.7109507600000002</v>
      </c>
      <c r="DE12">
        <v>6.54395785</v>
      </c>
      <c r="DF12">
        <v>6.4008141700000003</v>
      </c>
      <c r="DG12">
        <v>6.7174123000000003</v>
      </c>
      <c r="DH12">
        <v>6.7174123000000003</v>
      </c>
      <c r="DI12">
        <v>6.7174123000000003</v>
      </c>
      <c r="DJ12">
        <v>6.7174123000000003</v>
      </c>
      <c r="DK12">
        <v>6.4031283700000001</v>
      </c>
      <c r="DL12">
        <v>6.7234124800000004</v>
      </c>
      <c r="DM12">
        <v>6.4486358600000004</v>
      </c>
      <c r="DN12">
        <v>6.8915709999999999</v>
      </c>
      <c r="DO12">
        <v>6.8433329799999996</v>
      </c>
      <c r="DP12">
        <v>7.5586635900000001</v>
      </c>
      <c r="DQ12">
        <v>6.6819808500000004</v>
      </c>
      <c r="DR12">
        <v>6.9591561500000001</v>
      </c>
      <c r="DS12">
        <v>7.1309345999999998</v>
      </c>
      <c r="DT12">
        <v>7.0309543999999997</v>
      </c>
      <c r="DU12">
        <v>6.5458896600000003</v>
      </c>
      <c r="DV12">
        <v>7.0088509200000004</v>
      </c>
      <c r="DW12">
        <v>6.9215669899999996</v>
      </c>
      <c r="DX12">
        <v>6.6924408800000004</v>
      </c>
      <c r="DY12">
        <v>6.9563884700000003</v>
      </c>
      <c r="DZ12">
        <v>6.7228397199999996</v>
      </c>
      <c r="EA12">
        <v>6.9093870700000002</v>
      </c>
      <c r="EB12">
        <v>6.6986311599999997</v>
      </c>
      <c r="EC12">
        <v>6.8204223400000004</v>
      </c>
      <c r="ED12">
        <v>7.1697340499999997</v>
      </c>
      <c r="EE12">
        <v>5.8282463299999998</v>
      </c>
      <c r="EF12">
        <v>7.5068442900000001</v>
      </c>
      <c r="EG12">
        <v>6.7488074899999999</v>
      </c>
      <c r="EH12">
        <v>7.4289405000000004</v>
      </c>
      <c r="EI12">
        <v>6.0012156799999996</v>
      </c>
      <c r="EJ12">
        <v>5.6820639000000002</v>
      </c>
      <c r="EK12">
        <v>6.5609677299999998</v>
      </c>
      <c r="EL12">
        <v>6.6494482599999998</v>
      </c>
      <c r="EM12">
        <v>7.0775470900000004</v>
      </c>
      <c r="EN12">
        <v>6.9469880599999998</v>
      </c>
      <c r="EO12">
        <v>6.9405251000000003</v>
      </c>
      <c r="EP12">
        <v>6.6009796700000001</v>
      </c>
      <c r="EQ12">
        <v>6.2668537799999999</v>
      </c>
      <c r="ER12">
        <v>6.8262996200000003</v>
      </c>
      <c r="ES12">
        <v>6.6011240999999998</v>
      </c>
      <c r="ET12">
        <v>6.8935883899999997</v>
      </c>
      <c r="EU12">
        <v>6.5041340300000003</v>
      </c>
      <c r="EV12">
        <v>7.0551063200000002</v>
      </c>
      <c r="EW12">
        <v>6.9923224900000003</v>
      </c>
      <c r="EX12">
        <v>6.6738499899999999</v>
      </c>
      <c r="EY12">
        <v>6.6816369099999999</v>
      </c>
      <c r="EZ12">
        <v>6.9106404399999999</v>
      </c>
      <c r="FA12">
        <v>6.4146902099999998</v>
      </c>
      <c r="FB12">
        <v>6.9881236700000002</v>
      </c>
      <c r="FC12">
        <v>6.6978366300000003</v>
      </c>
      <c r="FD12">
        <v>6.8686779800000002</v>
      </c>
      <c r="FE12">
        <v>6.9211037299999996</v>
      </c>
      <c r="FF12">
        <v>6.7838928000000003</v>
      </c>
      <c r="FG12">
        <v>6.8332753999999998</v>
      </c>
      <c r="FH12">
        <v>6.4124237700000002</v>
      </c>
      <c r="FI12">
        <v>6.9673817299999996</v>
      </c>
      <c r="FJ12">
        <v>7.4990748500000004</v>
      </c>
      <c r="FK12">
        <v>6.2382142399999996</v>
      </c>
      <c r="FL12">
        <v>6.0095877399999997</v>
      </c>
      <c r="FM12">
        <v>6.7524678800000002</v>
      </c>
      <c r="FN12">
        <v>6.4736781199999998</v>
      </c>
      <c r="FO12">
        <v>6.5693976799999998</v>
      </c>
      <c r="FP12">
        <v>6.7780843800000001</v>
      </c>
      <c r="FQ12">
        <v>6.7856062599999998</v>
      </c>
      <c r="FR12">
        <v>6.9484036500000004</v>
      </c>
      <c r="FS12">
        <v>7.3423778400000002</v>
      </c>
      <c r="FT12">
        <v>6.8651151099999996</v>
      </c>
      <c r="FU12">
        <v>7.1566588299999996</v>
      </c>
      <c r="FV12">
        <v>5.9352808100000001</v>
      </c>
      <c r="FW12">
        <v>6.6090327200000001</v>
      </c>
      <c r="FX12">
        <v>7.4383221600000002</v>
      </c>
      <c r="FY12">
        <v>7.5364078699999997</v>
      </c>
      <c r="FZ12">
        <v>5.90577372</v>
      </c>
      <c r="GA12">
        <v>6.4115522599999997</v>
      </c>
      <c r="GB12">
        <v>6.6719561000000001</v>
      </c>
      <c r="GC12">
        <v>7.4471752000000002</v>
      </c>
      <c r="GD12">
        <v>6.9036177800000003</v>
      </c>
      <c r="GE12">
        <v>6.9085065800000001</v>
      </c>
      <c r="GF12">
        <v>6.4596340100000003</v>
      </c>
      <c r="GG12">
        <v>7.4413261000000004</v>
      </c>
      <c r="GH12">
        <v>6.3027987300000001</v>
      </c>
      <c r="GI12">
        <v>6.2867016500000004</v>
      </c>
      <c r="GJ12">
        <v>7.0160618499999998</v>
      </c>
      <c r="GK12">
        <v>6.6971706400000004</v>
      </c>
      <c r="GL12">
        <v>6.0691001399999998</v>
      </c>
      <c r="GM12">
        <v>6.9283954999999997</v>
      </c>
      <c r="GN12">
        <v>7.7996442200000002</v>
      </c>
      <c r="GO12">
        <v>6.5168707399999999</v>
      </c>
      <c r="GP12">
        <v>6.0187300700000002</v>
      </c>
      <c r="GQ12">
        <v>7.3795288799999996</v>
      </c>
      <c r="GR12">
        <v>7.5632393899999997</v>
      </c>
      <c r="GS12">
        <v>6.5917702699999996</v>
      </c>
      <c r="GT12">
        <v>4.8230549800000002</v>
      </c>
      <c r="GU12">
        <v>5.8228670300000003</v>
      </c>
      <c r="GV12">
        <v>6.4585899500000004</v>
      </c>
      <c r="GW12">
        <v>6.3851707600000003</v>
      </c>
      <c r="GX12">
        <v>6.3185680800000004</v>
      </c>
      <c r="GY12">
        <v>6.7996637599999996</v>
      </c>
      <c r="GZ12">
        <v>6.5546406700000004</v>
      </c>
      <c r="HA12">
        <v>6.3743504700000004</v>
      </c>
      <c r="HB12">
        <v>6.58576929</v>
      </c>
      <c r="HC12">
        <v>6.5626311599999996</v>
      </c>
      <c r="HD12">
        <v>6.69153603</v>
      </c>
      <c r="HE12">
        <v>7.0272124700000003</v>
      </c>
      <c r="HF12">
        <v>6.8923580800000002</v>
      </c>
      <c r="HG12">
        <v>6.7539423100000002</v>
      </c>
      <c r="HH12">
        <v>6.5772288999999997</v>
      </c>
      <c r="HI12">
        <v>6.7620560200000002</v>
      </c>
      <c r="HJ12">
        <v>6.7419291499999998</v>
      </c>
      <c r="HK12">
        <v>6.8078075299999998</v>
      </c>
      <c r="HL12">
        <v>6.7105167000000003</v>
      </c>
      <c r="HM12">
        <v>6.6730120700000004</v>
      </c>
      <c r="HN12">
        <v>6.7861858899999996</v>
      </c>
      <c r="HO12">
        <v>6.5565064499999997</v>
      </c>
      <c r="HP12">
        <v>6.6143873400000004</v>
      </c>
      <c r="HQ12">
        <v>6.7463170000000003</v>
      </c>
      <c r="HR12">
        <v>6.5312513900000004</v>
      </c>
      <c r="HS12">
        <v>6.5079382199999998</v>
      </c>
      <c r="HT12">
        <v>6.5032530900000003</v>
      </c>
      <c r="HU12">
        <v>7.2949278599999996</v>
      </c>
      <c r="HV12">
        <v>6.88999892</v>
      </c>
      <c r="HW12">
        <v>6.6849110500000002</v>
      </c>
      <c r="HX12">
        <v>6.6791423700000001</v>
      </c>
      <c r="HY12">
        <v>6.7745935599999996</v>
      </c>
      <c r="HZ12">
        <v>6.6501544299999997</v>
      </c>
      <c r="IA12">
        <v>6.5722017199999998</v>
      </c>
      <c r="IB12">
        <v>6.7433347699999997</v>
      </c>
      <c r="IC12">
        <v>6.9255563000000002</v>
      </c>
      <c r="ID12">
        <v>6.4902425299999997</v>
      </c>
      <c r="IE12">
        <v>6.6726367900000003</v>
      </c>
      <c r="IF12">
        <v>6.4394049400000002</v>
      </c>
      <c r="IG12">
        <v>6.7172670800000001</v>
      </c>
      <c r="IH12">
        <v>6.90971533</v>
      </c>
      <c r="II12">
        <v>6.6820992300000004</v>
      </c>
      <c r="IJ12">
        <v>6.7801142600000004</v>
      </c>
      <c r="IK12">
        <v>6.8250041000000001</v>
      </c>
      <c r="IL12">
        <v>6.4919510499999999</v>
      </c>
      <c r="IM12">
        <v>6.7028411700000001</v>
      </c>
      <c r="IN12">
        <v>7.0621783499999999</v>
      </c>
      <c r="IO12">
        <v>6.8316083299999999</v>
      </c>
      <c r="IP12">
        <v>6.5901512899999997</v>
      </c>
      <c r="IQ12">
        <v>7.1772679999999998</v>
      </c>
      <c r="IR12">
        <v>6.50454592</v>
      </c>
      <c r="IS12">
        <v>6.3269488699999998</v>
      </c>
      <c r="IT12">
        <v>7.2569724799999999</v>
      </c>
      <c r="IU12">
        <v>6.6745975599999996</v>
      </c>
      <c r="IV12">
        <v>6.9658822799999998</v>
      </c>
      <c r="IW12">
        <v>6.8704490900000001</v>
      </c>
      <c r="IX12">
        <v>6.3342573499999997</v>
      </c>
      <c r="IY12">
        <v>6.5699073500000003</v>
      </c>
      <c r="IZ12">
        <v>6.96324129</v>
      </c>
      <c r="JA12">
        <v>6.8205343799999998</v>
      </c>
      <c r="JB12">
        <v>5.8474474299999999</v>
      </c>
      <c r="JC12">
        <v>6.7047945499999999</v>
      </c>
      <c r="JD12">
        <v>6.2880343500000002</v>
      </c>
      <c r="JK12" s="21"/>
      <c r="JL12" s="21"/>
      <c r="JM12" s="20"/>
      <c r="JN12" s="35"/>
      <c r="JO12" s="35"/>
      <c r="JP12" s="35"/>
      <c r="JQ12" s="41"/>
      <c r="JR12" s="35"/>
      <c r="JS12" s="35"/>
      <c r="JT12" s="35"/>
      <c r="JU12" s="35"/>
      <c r="JV12" s="35"/>
      <c r="JW12" s="35"/>
    </row>
    <row r="13" spans="1:283" ht="13.8" x14ac:dyDescent="0.3">
      <c r="A13" s="19" t="s">
        <v>11</v>
      </c>
      <c r="B13" s="18" t="s">
        <v>48</v>
      </c>
      <c r="C13" s="14">
        <v>126</v>
      </c>
      <c r="D13" s="13">
        <v>6.4794574100000002</v>
      </c>
      <c r="E13" s="12">
        <v>6.3605697399999999</v>
      </c>
      <c r="F13">
        <v>6.3758394000000003</v>
      </c>
      <c r="G13">
        <v>6.7022658799999997</v>
      </c>
      <c r="H13">
        <v>6.4940002799999998</v>
      </c>
      <c r="I13">
        <v>6.3661901900000002</v>
      </c>
      <c r="J13">
        <v>6.3823343599999998</v>
      </c>
      <c r="K13">
        <v>6.2976797099999997</v>
      </c>
      <c r="L13">
        <v>6.5674920500000002</v>
      </c>
      <c r="M13">
        <v>6.2171833400000001</v>
      </c>
      <c r="N13">
        <v>6.3188948700000003</v>
      </c>
      <c r="O13">
        <v>6.7252080100000002</v>
      </c>
      <c r="P13">
        <v>6.4314500900000002</v>
      </c>
      <c r="Q13">
        <v>6.4154194499999999</v>
      </c>
      <c r="R13">
        <v>6.4806013</v>
      </c>
      <c r="S13">
        <v>6.6020651499999996</v>
      </c>
      <c r="T13">
        <v>6.6700245599999999</v>
      </c>
      <c r="U13">
        <v>6.2328249400000004</v>
      </c>
      <c r="V13">
        <v>6.5756688099999998</v>
      </c>
      <c r="W13">
        <v>6.3366590800000004</v>
      </c>
      <c r="X13">
        <v>6.6714385399999996</v>
      </c>
      <c r="Y13">
        <v>6.3817910500000004</v>
      </c>
      <c r="Z13">
        <v>5.98687448</v>
      </c>
      <c r="AA13">
        <v>6.4376474799999999</v>
      </c>
      <c r="AB13">
        <v>6.3915272300000003</v>
      </c>
      <c r="AC13">
        <v>6.4858361899999997</v>
      </c>
      <c r="AD13">
        <v>6.7473192700000002</v>
      </c>
      <c r="AE13">
        <v>6.0763431199999998</v>
      </c>
      <c r="AF13">
        <v>6.4317070000000003</v>
      </c>
      <c r="AG13">
        <v>6.6053911100000002</v>
      </c>
      <c r="AH13">
        <v>6.3912696699999998</v>
      </c>
      <c r="AI13">
        <v>6.3165820899999998</v>
      </c>
      <c r="AJ13">
        <v>6.48850543</v>
      </c>
      <c r="AK13">
        <v>6.5700393699999999</v>
      </c>
      <c r="AL13">
        <v>6.6540758999999996</v>
      </c>
      <c r="AM13">
        <v>6.6156176200000001</v>
      </c>
      <c r="AN13">
        <v>6.4716847900000003</v>
      </c>
      <c r="AO13">
        <v>6.5738718399999998</v>
      </c>
      <c r="AP13">
        <v>6.2434009399999999</v>
      </c>
      <c r="AQ13">
        <v>6.48058785</v>
      </c>
      <c r="AR13">
        <v>6.4827143100000004</v>
      </c>
      <c r="AS13">
        <v>6.0875195599999996</v>
      </c>
      <c r="AT13">
        <v>6.4756656899999996</v>
      </c>
      <c r="AU13">
        <v>6.4510523600000003</v>
      </c>
      <c r="AV13">
        <v>7.0542957299999998</v>
      </c>
      <c r="AW13">
        <v>6.4184993700000001</v>
      </c>
      <c r="AX13">
        <v>6.4853696200000002</v>
      </c>
      <c r="AY13">
        <v>6.5184451499999998</v>
      </c>
      <c r="AZ13">
        <v>5.5479832900000003</v>
      </c>
      <c r="BA13">
        <v>6.3474541699999998</v>
      </c>
      <c r="BB13">
        <v>6.4328738699999999</v>
      </c>
      <c r="BC13">
        <v>6.7485686300000003</v>
      </c>
      <c r="BD13">
        <v>6.1867361699999996</v>
      </c>
      <c r="BE13">
        <v>6.4578794400000001</v>
      </c>
      <c r="BF13">
        <v>6.5860538000000002</v>
      </c>
      <c r="BG13">
        <v>6.7039895400000002</v>
      </c>
      <c r="BH13">
        <v>6.5971163500000003</v>
      </c>
      <c r="BI13">
        <v>6.3037037800000002</v>
      </c>
      <c r="BJ13">
        <v>6.3776884000000003</v>
      </c>
      <c r="BK13">
        <v>6.5236585900000001</v>
      </c>
      <c r="BL13">
        <v>6.54597943</v>
      </c>
      <c r="BM13">
        <v>6.8212196199999999</v>
      </c>
      <c r="BN13">
        <v>6.5481282700000003</v>
      </c>
      <c r="BO13">
        <v>6.3353853300000003</v>
      </c>
      <c r="BP13">
        <v>6.4618094800000003</v>
      </c>
      <c r="BQ13">
        <v>6.3166656200000002</v>
      </c>
      <c r="BR13">
        <v>6.25355901</v>
      </c>
      <c r="BS13">
        <v>6.4083235800000002</v>
      </c>
      <c r="BT13">
        <v>6.3592501500000003</v>
      </c>
      <c r="BU13">
        <v>6.9072196200000002</v>
      </c>
      <c r="BV13">
        <v>6.6522054400000004</v>
      </c>
      <c r="BW13">
        <v>6.2460420599999997</v>
      </c>
      <c r="BX13">
        <v>6.5639510100000003</v>
      </c>
      <c r="BY13">
        <v>6.7344654799999999</v>
      </c>
      <c r="BZ13">
        <v>6.6944319600000002</v>
      </c>
      <c r="CA13">
        <v>6.3445640000000001</v>
      </c>
      <c r="CB13">
        <v>6.28895815</v>
      </c>
      <c r="CC13">
        <v>6.5473912199999997</v>
      </c>
      <c r="CD13">
        <v>6.28501873</v>
      </c>
      <c r="CE13">
        <v>6.5001382599999999</v>
      </c>
      <c r="CF13">
        <v>6.7410533499999996</v>
      </c>
      <c r="CG13">
        <v>6.5477447199999999</v>
      </c>
      <c r="CH13">
        <v>6.5553052999999997</v>
      </c>
      <c r="CI13">
        <v>6.2762675000000003</v>
      </c>
      <c r="CJ13">
        <v>6.02296341</v>
      </c>
      <c r="CK13">
        <v>6.4906632399999999</v>
      </c>
      <c r="CL13">
        <v>6.5350079900000004</v>
      </c>
      <c r="CM13">
        <v>6.2406836099999996</v>
      </c>
      <c r="CN13">
        <v>6.6835318600000004</v>
      </c>
      <c r="CO13">
        <v>6.4808332699999998</v>
      </c>
      <c r="CP13">
        <v>6.7251991699999998</v>
      </c>
      <c r="CQ13">
        <v>6.3324512300000002</v>
      </c>
      <c r="CR13">
        <v>6.4357384099999999</v>
      </c>
      <c r="CS13">
        <v>6.4939695400000002</v>
      </c>
      <c r="CT13">
        <v>6.6916915399999999</v>
      </c>
      <c r="CU13">
        <v>6.6212402800000003</v>
      </c>
      <c r="CV13">
        <v>6.6553314200000004</v>
      </c>
      <c r="CW13">
        <v>6.7235036600000004</v>
      </c>
      <c r="CX13">
        <v>6.6076444600000004</v>
      </c>
      <c r="CY13">
        <v>6.7293972499999999</v>
      </c>
      <c r="CZ13">
        <v>6.6205032299999997</v>
      </c>
      <c r="DA13">
        <v>6.7851083599999997</v>
      </c>
      <c r="DB13">
        <v>6.6429882300000003</v>
      </c>
      <c r="DC13">
        <v>6.1526426499999998</v>
      </c>
      <c r="DD13">
        <v>6.4787353300000001</v>
      </c>
      <c r="DE13">
        <v>6.2780130099999996</v>
      </c>
      <c r="DF13">
        <v>6.2362514400000002</v>
      </c>
      <c r="DG13">
        <v>6.4794574100000002</v>
      </c>
      <c r="DH13">
        <v>6.4794574100000002</v>
      </c>
      <c r="DI13">
        <v>6.4794574100000002</v>
      </c>
      <c r="DJ13">
        <v>6.4794574100000002</v>
      </c>
      <c r="DK13">
        <v>6.2163836300000002</v>
      </c>
      <c r="DL13">
        <v>6.40694886</v>
      </c>
      <c r="DM13">
        <v>6.2590410700000003</v>
      </c>
      <c r="DN13">
        <v>6.6527492099999996</v>
      </c>
      <c r="DO13">
        <v>6.6020656400000002</v>
      </c>
      <c r="DP13">
        <v>7.2406371199999997</v>
      </c>
      <c r="DQ13">
        <v>6.4281667599999999</v>
      </c>
      <c r="DR13">
        <v>6.7114913899999999</v>
      </c>
      <c r="DS13">
        <v>6.8946953799999999</v>
      </c>
      <c r="DT13">
        <v>6.7572798699999996</v>
      </c>
      <c r="DU13">
        <v>6.2898340700000004</v>
      </c>
      <c r="DV13">
        <v>6.7959430599999999</v>
      </c>
      <c r="DW13">
        <v>6.6918847699999997</v>
      </c>
      <c r="DX13">
        <v>6.4141138599999996</v>
      </c>
      <c r="DY13">
        <v>6.7633941899999996</v>
      </c>
      <c r="DZ13">
        <v>6.5257975999999998</v>
      </c>
      <c r="EA13">
        <v>6.73773877</v>
      </c>
      <c r="EB13">
        <v>6.4835532599999999</v>
      </c>
      <c r="EC13">
        <v>6.5732486000000003</v>
      </c>
      <c r="ED13">
        <v>6.9221800299999998</v>
      </c>
      <c r="EE13">
        <v>5.6921980899999998</v>
      </c>
      <c r="EF13">
        <v>7.2223672700000003</v>
      </c>
      <c r="EG13">
        <v>6.4171272699999999</v>
      </c>
      <c r="EH13">
        <v>7.1660868799999999</v>
      </c>
      <c r="EI13">
        <v>5.7774278399999996</v>
      </c>
      <c r="EJ13">
        <v>5.5199273599999996</v>
      </c>
      <c r="EK13">
        <v>6.3846080399999998</v>
      </c>
      <c r="EL13">
        <v>6.3856871100000001</v>
      </c>
      <c r="EM13">
        <v>6.85002333</v>
      </c>
      <c r="EN13">
        <v>6.7037435800000003</v>
      </c>
      <c r="EO13">
        <v>6.63616809</v>
      </c>
      <c r="EP13">
        <v>6.31373417</v>
      </c>
      <c r="EQ13">
        <v>6.0422469300000001</v>
      </c>
      <c r="ER13">
        <v>6.61706927</v>
      </c>
      <c r="ES13">
        <v>6.4255697300000003</v>
      </c>
      <c r="ET13">
        <v>6.6558403100000003</v>
      </c>
      <c r="EU13">
        <v>6.24088244</v>
      </c>
      <c r="EV13">
        <v>6.8047727599999996</v>
      </c>
      <c r="EW13">
        <v>6.7747255099999997</v>
      </c>
      <c r="EX13">
        <v>6.44518784</v>
      </c>
      <c r="EY13">
        <v>6.4782462900000004</v>
      </c>
      <c r="EZ13">
        <v>6.6393578900000003</v>
      </c>
      <c r="FA13">
        <v>6.1591502</v>
      </c>
      <c r="FB13">
        <v>6.80489546</v>
      </c>
      <c r="FC13">
        <v>6.4616580099999998</v>
      </c>
      <c r="FD13">
        <v>6.5731907600000001</v>
      </c>
      <c r="FE13">
        <v>6.7027126399999997</v>
      </c>
      <c r="FF13">
        <v>6.5677867499999998</v>
      </c>
      <c r="FG13">
        <v>6.60532246</v>
      </c>
      <c r="FH13">
        <v>6.1836973500000001</v>
      </c>
      <c r="FI13">
        <v>6.7529868500000001</v>
      </c>
      <c r="FJ13">
        <v>7.2256024200000004</v>
      </c>
      <c r="FK13">
        <v>6.0993766799999998</v>
      </c>
      <c r="FL13">
        <v>5.7949091099999999</v>
      </c>
      <c r="FM13">
        <v>6.4726416100000002</v>
      </c>
      <c r="FN13">
        <v>6.2391113000000002</v>
      </c>
      <c r="FO13">
        <v>6.3941356999999996</v>
      </c>
      <c r="FP13">
        <v>6.5546059100000003</v>
      </c>
      <c r="FQ13">
        <v>6.4876344499999998</v>
      </c>
      <c r="FR13">
        <v>6.68624536</v>
      </c>
      <c r="FS13">
        <v>7.0416237800000001</v>
      </c>
      <c r="FT13">
        <v>6.5748251199999999</v>
      </c>
      <c r="FU13">
        <v>6.8756022999999997</v>
      </c>
      <c r="FV13">
        <v>5.7272695699999998</v>
      </c>
      <c r="FW13">
        <v>6.4213708900000004</v>
      </c>
      <c r="FX13">
        <v>7.17593923</v>
      </c>
      <c r="FY13">
        <v>7.1808035500000003</v>
      </c>
      <c r="FZ13">
        <v>5.74155923</v>
      </c>
      <c r="GA13">
        <v>6.1235784200000003</v>
      </c>
      <c r="GB13">
        <v>6.37397876</v>
      </c>
      <c r="GC13">
        <v>7.1377225700000002</v>
      </c>
      <c r="GD13">
        <v>6.6628216099999999</v>
      </c>
      <c r="GE13">
        <v>6.6408049399999998</v>
      </c>
      <c r="GF13">
        <v>6.24217304</v>
      </c>
      <c r="GG13">
        <v>7.0927873999999997</v>
      </c>
      <c r="GH13">
        <v>6.1408233399999999</v>
      </c>
      <c r="GI13">
        <v>6.07896809</v>
      </c>
      <c r="GJ13">
        <v>6.7515304399999998</v>
      </c>
      <c r="GK13">
        <v>6.4010914999999997</v>
      </c>
      <c r="GL13">
        <v>5.8677210400000002</v>
      </c>
      <c r="GM13">
        <v>6.6639896900000002</v>
      </c>
      <c r="GN13">
        <v>7.4839510100000002</v>
      </c>
      <c r="GO13">
        <v>6.2515413100000004</v>
      </c>
      <c r="GP13">
        <v>5.8682342900000002</v>
      </c>
      <c r="GQ13">
        <v>7.0695826000000004</v>
      </c>
      <c r="GR13">
        <v>7.3129074200000002</v>
      </c>
      <c r="GS13">
        <v>6.3215198199999998</v>
      </c>
      <c r="GT13">
        <v>4.79207596</v>
      </c>
      <c r="GU13">
        <v>5.6366850800000003</v>
      </c>
      <c r="GV13">
        <v>6.1959679000000003</v>
      </c>
      <c r="GW13">
        <v>6.1734956499999996</v>
      </c>
      <c r="GX13">
        <v>6.0631515800000004</v>
      </c>
      <c r="GY13">
        <v>6.5400722900000003</v>
      </c>
      <c r="GZ13">
        <v>6.3410311100000003</v>
      </c>
      <c r="HA13">
        <v>6.0928197700000002</v>
      </c>
      <c r="HB13">
        <v>6.3584260400000003</v>
      </c>
      <c r="HC13">
        <v>6.3334475299999999</v>
      </c>
      <c r="HD13">
        <v>6.4566788600000002</v>
      </c>
      <c r="HE13">
        <v>6.7987285100000001</v>
      </c>
      <c r="HF13">
        <v>6.6209594799999998</v>
      </c>
      <c r="HG13">
        <v>6.5344188299999999</v>
      </c>
      <c r="HH13">
        <v>6.3686318799999997</v>
      </c>
      <c r="HI13">
        <v>6.5386111400000004</v>
      </c>
      <c r="HJ13">
        <v>6.5122033400000001</v>
      </c>
      <c r="HK13">
        <v>6.5209846100000002</v>
      </c>
      <c r="HL13">
        <v>6.4746845100000003</v>
      </c>
      <c r="HM13">
        <v>6.4192053900000001</v>
      </c>
      <c r="HN13">
        <v>6.5754743199999997</v>
      </c>
      <c r="HO13">
        <v>6.3130845200000003</v>
      </c>
      <c r="HP13">
        <v>6.3116104200000001</v>
      </c>
      <c r="HQ13">
        <v>6.5242537599999997</v>
      </c>
      <c r="HR13">
        <v>6.31323714</v>
      </c>
      <c r="HS13">
        <v>6.2856164699999999</v>
      </c>
      <c r="HT13">
        <v>6.2841536800000002</v>
      </c>
      <c r="HU13">
        <v>7.0059434100000004</v>
      </c>
      <c r="HV13">
        <v>6.6504929300000004</v>
      </c>
      <c r="HW13">
        <v>6.4685910499999997</v>
      </c>
      <c r="HX13">
        <v>6.45673897</v>
      </c>
      <c r="HY13">
        <v>6.5225809400000001</v>
      </c>
      <c r="HZ13">
        <v>6.4398643199999999</v>
      </c>
      <c r="IA13">
        <v>6.3614129000000004</v>
      </c>
      <c r="IB13">
        <v>6.5204393899999999</v>
      </c>
      <c r="IC13">
        <v>6.70683922</v>
      </c>
      <c r="ID13">
        <v>6.1841386700000003</v>
      </c>
      <c r="IE13">
        <v>6.4511612400000002</v>
      </c>
      <c r="IF13">
        <v>6.1791441999999996</v>
      </c>
      <c r="IG13">
        <v>6.4726055200000001</v>
      </c>
      <c r="IH13">
        <v>6.70559467</v>
      </c>
      <c r="II13">
        <v>6.4114911499999998</v>
      </c>
      <c r="IJ13">
        <v>6.58112415</v>
      </c>
      <c r="IK13">
        <v>6.6537916700000004</v>
      </c>
      <c r="IL13">
        <v>6.1719191100000002</v>
      </c>
      <c r="IM13">
        <v>6.4444731900000001</v>
      </c>
      <c r="IN13">
        <v>6.7918341399999997</v>
      </c>
      <c r="IO13">
        <v>6.6058301400000001</v>
      </c>
      <c r="IP13">
        <v>6.3375600499999996</v>
      </c>
      <c r="IQ13">
        <v>6.9643478600000002</v>
      </c>
      <c r="IR13">
        <v>6.2715317300000004</v>
      </c>
      <c r="IS13">
        <v>6.0899608399999998</v>
      </c>
      <c r="IT13">
        <v>6.9587588800000004</v>
      </c>
      <c r="IU13">
        <v>6.4736403200000003</v>
      </c>
      <c r="IV13">
        <v>6.7308761500000003</v>
      </c>
      <c r="IW13">
        <v>6.6848553400000004</v>
      </c>
      <c r="IX13">
        <v>6.0303469600000001</v>
      </c>
      <c r="IY13">
        <v>6.3297523</v>
      </c>
      <c r="IZ13">
        <v>6.7388206899999998</v>
      </c>
      <c r="JA13">
        <v>6.5498790800000002</v>
      </c>
      <c r="JB13">
        <v>5.6363449299999999</v>
      </c>
      <c r="JC13">
        <v>6.4809116400000004</v>
      </c>
      <c r="JD13">
        <v>6.0696227499999997</v>
      </c>
      <c r="JK13" s="21"/>
      <c r="JL13" s="21"/>
      <c r="JM13" s="20"/>
      <c r="JN13" s="35"/>
      <c r="JO13" s="35"/>
      <c r="JP13" s="35"/>
      <c r="JQ13" s="41"/>
      <c r="JR13" s="35"/>
      <c r="JS13" s="35"/>
      <c r="JT13" s="35"/>
      <c r="JU13" s="35"/>
      <c r="JV13" s="35"/>
      <c r="JW13" s="35"/>
    </row>
    <row r="14" spans="1:283" ht="13.8" x14ac:dyDescent="0.3">
      <c r="A14" s="19" t="s">
        <v>11</v>
      </c>
      <c r="B14" s="18" t="s">
        <v>48</v>
      </c>
      <c r="C14" s="14">
        <v>160</v>
      </c>
      <c r="D14" s="13">
        <v>6.2696414599999999</v>
      </c>
      <c r="E14" s="12">
        <v>6.1529853799999996</v>
      </c>
      <c r="F14">
        <v>6.2163860399999997</v>
      </c>
      <c r="G14">
        <v>6.4961190499999999</v>
      </c>
      <c r="H14">
        <v>6.2908936899999999</v>
      </c>
      <c r="I14">
        <v>6.1209829200000003</v>
      </c>
      <c r="J14">
        <v>6.1662161600000003</v>
      </c>
      <c r="K14">
        <v>6.1089414599999996</v>
      </c>
      <c r="L14">
        <v>6.3658739899999999</v>
      </c>
      <c r="M14">
        <v>5.9933071800000004</v>
      </c>
      <c r="N14">
        <v>6.1084301300000003</v>
      </c>
      <c r="O14">
        <v>6.4113076099999997</v>
      </c>
      <c r="P14">
        <v>6.2534849399999999</v>
      </c>
      <c r="Q14">
        <v>6.1906779099999998</v>
      </c>
      <c r="R14">
        <v>6.2619328000000003</v>
      </c>
      <c r="S14">
        <v>6.3736963700000002</v>
      </c>
      <c r="T14">
        <v>6.4689324299999997</v>
      </c>
      <c r="U14">
        <v>6.0353207099999997</v>
      </c>
      <c r="V14">
        <v>6.3775314099999996</v>
      </c>
      <c r="W14">
        <v>6.1270325799999998</v>
      </c>
      <c r="X14">
        <v>6.4214982200000001</v>
      </c>
      <c r="Y14">
        <v>6.1675216600000002</v>
      </c>
      <c r="Z14">
        <v>5.7997310300000002</v>
      </c>
      <c r="AA14">
        <v>6.2232726500000002</v>
      </c>
      <c r="AB14">
        <v>6.1693854400000001</v>
      </c>
      <c r="AC14">
        <v>6.3317149500000003</v>
      </c>
      <c r="AD14">
        <v>6.4402645700000001</v>
      </c>
      <c r="AE14">
        <v>5.8923867699999999</v>
      </c>
      <c r="AF14">
        <v>6.1871613400000003</v>
      </c>
      <c r="AG14">
        <v>6.3719972599999997</v>
      </c>
      <c r="AH14">
        <v>6.2270142699999997</v>
      </c>
      <c r="AI14">
        <v>6.1417386900000004</v>
      </c>
      <c r="AJ14">
        <v>6.3035314400000004</v>
      </c>
      <c r="AK14">
        <v>6.3447434200000004</v>
      </c>
      <c r="AL14">
        <v>6.4387000099999998</v>
      </c>
      <c r="AM14">
        <v>6.38350507</v>
      </c>
      <c r="AN14">
        <v>6.3056212599999997</v>
      </c>
      <c r="AO14">
        <v>6.3743699200000004</v>
      </c>
      <c r="AP14">
        <v>6.0504336600000004</v>
      </c>
      <c r="AQ14">
        <v>6.2025174600000001</v>
      </c>
      <c r="AR14">
        <v>6.2723604100000001</v>
      </c>
      <c r="AS14">
        <v>5.9280652399999996</v>
      </c>
      <c r="AT14">
        <v>6.2767313400000004</v>
      </c>
      <c r="AU14">
        <v>6.2421342199999996</v>
      </c>
      <c r="AV14">
        <v>6.7688914100000002</v>
      </c>
      <c r="AW14">
        <v>6.22323805</v>
      </c>
      <c r="AX14">
        <v>6.3308613200000003</v>
      </c>
      <c r="AY14">
        <v>6.3147577799999999</v>
      </c>
      <c r="AZ14">
        <v>5.5291280199999999</v>
      </c>
      <c r="BA14">
        <v>6.10493167</v>
      </c>
      <c r="BB14">
        <v>6.22914542</v>
      </c>
      <c r="BC14">
        <v>6.4715362399999998</v>
      </c>
      <c r="BD14">
        <v>5.8827712500000002</v>
      </c>
      <c r="BE14">
        <v>6.2732407800000001</v>
      </c>
      <c r="BF14">
        <v>6.3793109499999998</v>
      </c>
      <c r="BG14">
        <v>6.5049446099999999</v>
      </c>
      <c r="BH14">
        <v>6.3918103999999998</v>
      </c>
      <c r="BI14">
        <v>6.1515515499999998</v>
      </c>
      <c r="BJ14">
        <v>6.1584548400000001</v>
      </c>
      <c r="BK14">
        <v>6.3364034</v>
      </c>
      <c r="BL14">
        <v>6.3344711900000004</v>
      </c>
      <c r="BM14">
        <v>6.6038400499999996</v>
      </c>
      <c r="BN14">
        <v>6.3651285700000004</v>
      </c>
      <c r="BO14">
        <v>6.1309148599999999</v>
      </c>
      <c r="BP14">
        <v>6.2179248400000002</v>
      </c>
      <c r="BQ14">
        <v>6.0927921999999999</v>
      </c>
      <c r="BR14">
        <v>6.0925215899999996</v>
      </c>
      <c r="BS14">
        <v>6.1976251700000002</v>
      </c>
      <c r="BT14">
        <v>6.17085683</v>
      </c>
      <c r="BU14">
        <v>6.6223718800000002</v>
      </c>
      <c r="BV14">
        <v>6.4356207000000003</v>
      </c>
      <c r="BW14">
        <v>6.0323873199999998</v>
      </c>
      <c r="BX14">
        <v>6.3637791400000001</v>
      </c>
      <c r="BY14">
        <v>6.4628892599999999</v>
      </c>
      <c r="BZ14">
        <v>6.4897778600000002</v>
      </c>
      <c r="CA14">
        <v>6.2056232800000002</v>
      </c>
      <c r="CB14">
        <v>6.1078012700000004</v>
      </c>
      <c r="CC14">
        <v>6.2816573800000004</v>
      </c>
      <c r="CD14">
        <v>6.0506362600000001</v>
      </c>
      <c r="CE14">
        <v>6.3812692000000002</v>
      </c>
      <c r="CF14">
        <v>6.4998520700000002</v>
      </c>
      <c r="CG14">
        <v>6.3494487499999996</v>
      </c>
      <c r="CH14">
        <v>6.3265341900000003</v>
      </c>
      <c r="CI14">
        <v>6.09877439</v>
      </c>
      <c r="CJ14">
        <v>5.8313628199999998</v>
      </c>
      <c r="CK14">
        <v>6.2897882699999998</v>
      </c>
      <c r="CL14">
        <v>6.3030183099999997</v>
      </c>
      <c r="CM14">
        <v>6.0041399000000002</v>
      </c>
      <c r="CN14">
        <v>6.4633400200000004</v>
      </c>
      <c r="CO14">
        <v>6.2708369299999998</v>
      </c>
      <c r="CP14">
        <v>6.5473488299999998</v>
      </c>
      <c r="CQ14">
        <v>6.0872279599999999</v>
      </c>
      <c r="CR14">
        <v>6.2290674599999996</v>
      </c>
      <c r="CS14">
        <v>6.2914531299999998</v>
      </c>
      <c r="CT14">
        <v>6.4573189600000003</v>
      </c>
      <c r="CU14">
        <v>6.3768697899999998</v>
      </c>
      <c r="CV14">
        <v>6.4540423799999997</v>
      </c>
      <c r="CW14">
        <v>6.4247534499999999</v>
      </c>
      <c r="CX14">
        <v>6.4222575199999996</v>
      </c>
      <c r="CY14">
        <v>6.4947315999999997</v>
      </c>
      <c r="CZ14">
        <v>6.3597648400000004</v>
      </c>
      <c r="DA14">
        <v>6.5650790399999996</v>
      </c>
      <c r="DB14">
        <v>6.44329369</v>
      </c>
      <c r="DC14">
        <v>5.9793835800000004</v>
      </c>
      <c r="DD14">
        <v>6.2754241100000003</v>
      </c>
      <c r="DE14">
        <v>6.0364751300000004</v>
      </c>
      <c r="DF14">
        <v>6.1096132799999996</v>
      </c>
      <c r="DG14">
        <v>6.2696414599999999</v>
      </c>
      <c r="DH14">
        <v>6.2696414599999999</v>
      </c>
      <c r="DI14">
        <v>6.2696414599999999</v>
      </c>
      <c r="DJ14">
        <v>6.2696414599999999</v>
      </c>
      <c r="DK14">
        <v>6.0646058500000004</v>
      </c>
      <c r="DL14">
        <v>6.1081563499999998</v>
      </c>
      <c r="DM14">
        <v>6.1040332399999997</v>
      </c>
      <c r="DN14">
        <v>6.44195078</v>
      </c>
      <c r="DO14">
        <v>6.3884955699999999</v>
      </c>
      <c r="DP14">
        <v>6.9400733900000002</v>
      </c>
      <c r="DQ14">
        <v>6.2003770500000002</v>
      </c>
      <c r="DR14">
        <v>6.4906709300000003</v>
      </c>
      <c r="DS14">
        <v>6.6868238699999996</v>
      </c>
      <c r="DT14">
        <v>6.5069816600000001</v>
      </c>
      <c r="DU14">
        <v>6.0595039999999996</v>
      </c>
      <c r="DV14">
        <v>6.6145137399999996</v>
      </c>
      <c r="DW14">
        <v>6.49144451</v>
      </c>
      <c r="DX14">
        <v>6.15854283</v>
      </c>
      <c r="DY14">
        <v>6.60453359</v>
      </c>
      <c r="DZ14">
        <v>6.3623494599999999</v>
      </c>
      <c r="EA14">
        <v>6.6030702999999997</v>
      </c>
      <c r="EB14">
        <v>6.29966457</v>
      </c>
      <c r="EC14">
        <v>6.35298462</v>
      </c>
      <c r="ED14">
        <v>6.7014850700000004</v>
      </c>
      <c r="EE14">
        <v>5.5978763499999999</v>
      </c>
      <c r="EF14">
        <v>6.9598262499999999</v>
      </c>
      <c r="EG14">
        <v>6.10108929</v>
      </c>
      <c r="EH14">
        <v>6.9280523599999997</v>
      </c>
      <c r="EI14">
        <v>5.5836678800000001</v>
      </c>
      <c r="EJ14">
        <v>5.3960388899999998</v>
      </c>
      <c r="EK14">
        <v>6.2445999900000002</v>
      </c>
      <c r="EL14">
        <v>6.1466240699999997</v>
      </c>
      <c r="EM14">
        <v>6.6520293400000003</v>
      </c>
      <c r="EN14">
        <v>6.4879327699999996</v>
      </c>
      <c r="EO14">
        <v>6.3510964000000003</v>
      </c>
      <c r="EP14">
        <v>6.0480555300000001</v>
      </c>
      <c r="EQ14">
        <v>5.8475587600000001</v>
      </c>
      <c r="ER14">
        <v>6.4398078099999996</v>
      </c>
      <c r="ES14">
        <v>6.2864743699999996</v>
      </c>
      <c r="ET14">
        <v>6.4462587500000001</v>
      </c>
      <c r="EU14">
        <v>6.00239689</v>
      </c>
      <c r="EV14">
        <v>6.5809276399999996</v>
      </c>
      <c r="EW14">
        <v>6.5879818600000002</v>
      </c>
      <c r="EX14">
        <v>6.2459036699999997</v>
      </c>
      <c r="EY14">
        <v>6.3076031800000001</v>
      </c>
      <c r="EZ14">
        <v>6.3917705900000001</v>
      </c>
      <c r="FA14">
        <v>5.9294044499999998</v>
      </c>
      <c r="FB14">
        <v>6.6571030799999997</v>
      </c>
      <c r="FC14">
        <v>6.2538551599999996</v>
      </c>
      <c r="FD14">
        <v>6.2981714999999996</v>
      </c>
      <c r="FE14">
        <v>6.5150689899999996</v>
      </c>
      <c r="FF14">
        <v>6.3827328200000002</v>
      </c>
      <c r="FG14">
        <v>6.4068420699999997</v>
      </c>
      <c r="FH14">
        <v>5.9843403300000002</v>
      </c>
      <c r="FI14">
        <v>6.5698722500000004</v>
      </c>
      <c r="FJ14">
        <v>6.9755332699999997</v>
      </c>
      <c r="FK14">
        <v>6.00189372</v>
      </c>
      <c r="FL14">
        <v>5.6114729199999998</v>
      </c>
      <c r="FM14">
        <v>6.2153714300000003</v>
      </c>
      <c r="FN14">
        <v>6.0331351599999996</v>
      </c>
      <c r="FO14">
        <v>6.2553717300000002</v>
      </c>
      <c r="FP14">
        <v>6.3611965699999997</v>
      </c>
      <c r="FQ14">
        <v>6.2097993300000001</v>
      </c>
      <c r="FR14">
        <v>6.4489988900000004</v>
      </c>
      <c r="FS14">
        <v>6.7606354499999997</v>
      </c>
      <c r="FT14">
        <v>6.3056960499999999</v>
      </c>
      <c r="FU14">
        <v>6.6169378200000004</v>
      </c>
      <c r="FV14">
        <v>5.5513897600000002</v>
      </c>
      <c r="FW14">
        <v>6.2685537399999998</v>
      </c>
      <c r="FX14">
        <v>6.9384381700000004</v>
      </c>
      <c r="FY14">
        <v>6.8376515900000001</v>
      </c>
      <c r="FZ14">
        <v>5.6153157299999998</v>
      </c>
      <c r="GA14">
        <v>5.8570743299999997</v>
      </c>
      <c r="GB14">
        <v>6.0961373800000001</v>
      </c>
      <c r="GC14">
        <v>6.84687584</v>
      </c>
      <c r="GD14">
        <v>6.4497855499999996</v>
      </c>
      <c r="GE14">
        <v>6.3972760099999997</v>
      </c>
      <c r="GF14">
        <v>6.0555835299999998</v>
      </c>
      <c r="GG14">
        <v>6.7576431299999999</v>
      </c>
      <c r="GH14">
        <v>6.0171174900000004</v>
      </c>
      <c r="GI14">
        <v>5.9034029800000001</v>
      </c>
      <c r="GJ14">
        <v>6.5115944499999996</v>
      </c>
      <c r="GK14">
        <v>6.1254014100000003</v>
      </c>
      <c r="GL14">
        <v>5.6993576499999996</v>
      </c>
      <c r="GM14">
        <v>6.4241960300000001</v>
      </c>
      <c r="GN14">
        <v>7.1860316400000004</v>
      </c>
      <c r="GO14">
        <v>6.0107008799999999</v>
      </c>
      <c r="GP14">
        <v>5.7575386599999998</v>
      </c>
      <c r="GQ14">
        <v>6.7781764200000003</v>
      </c>
      <c r="GR14">
        <v>7.0890641199999997</v>
      </c>
      <c r="GS14">
        <v>6.0751022499999996</v>
      </c>
      <c r="GT14">
        <v>4.8168326600000002</v>
      </c>
      <c r="GU14">
        <v>5.4855451300000002</v>
      </c>
      <c r="GV14">
        <v>5.9581958400000001</v>
      </c>
      <c r="GW14">
        <v>5.9934634400000002</v>
      </c>
      <c r="GX14">
        <v>5.8335457999999996</v>
      </c>
      <c r="GY14">
        <v>6.3057348800000002</v>
      </c>
      <c r="GZ14">
        <v>6.1588065399999996</v>
      </c>
      <c r="HA14">
        <v>5.8336179000000001</v>
      </c>
      <c r="HB14">
        <v>6.16063662</v>
      </c>
      <c r="HC14">
        <v>6.1335723399999997</v>
      </c>
      <c r="HD14">
        <v>6.2503736600000002</v>
      </c>
      <c r="HE14">
        <v>6.5996462999999999</v>
      </c>
      <c r="HF14">
        <v>6.3732406599999996</v>
      </c>
      <c r="HG14">
        <v>6.3454918100000004</v>
      </c>
      <c r="HH14">
        <v>6.1920881899999998</v>
      </c>
      <c r="HI14">
        <v>6.3452398700000003</v>
      </c>
      <c r="HJ14">
        <v>6.3117136900000004</v>
      </c>
      <c r="HK14">
        <v>6.2557849000000001</v>
      </c>
      <c r="HL14">
        <v>6.2672743000000004</v>
      </c>
      <c r="HM14">
        <v>6.1914240899999999</v>
      </c>
      <c r="HN14">
        <v>6.39653413</v>
      </c>
      <c r="HO14">
        <v>6.0970725799999999</v>
      </c>
      <c r="HP14">
        <v>6.0283294999999999</v>
      </c>
      <c r="HQ14">
        <v>6.33244834</v>
      </c>
      <c r="HR14">
        <v>6.1260205799999996</v>
      </c>
      <c r="HS14">
        <v>6.09351807</v>
      </c>
      <c r="HT14">
        <v>6.0957072700000001</v>
      </c>
      <c r="HU14">
        <v>6.73829397</v>
      </c>
      <c r="HV14">
        <v>6.4389190699999999</v>
      </c>
      <c r="HW14">
        <v>6.2832946400000003</v>
      </c>
      <c r="HX14">
        <v>6.2645480400000002</v>
      </c>
      <c r="HY14">
        <v>6.2968329000000001</v>
      </c>
      <c r="HZ14">
        <v>6.2614017899999999</v>
      </c>
      <c r="IA14">
        <v>6.1823851599999999</v>
      </c>
      <c r="IB14">
        <v>6.3276908900000004</v>
      </c>
      <c r="IC14">
        <v>6.5188261199999999</v>
      </c>
      <c r="ID14">
        <v>5.8970872300000003</v>
      </c>
      <c r="IE14">
        <v>6.2600218700000001</v>
      </c>
      <c r="IF14">
        <v>5.9440483000000004</v>
      </c>
      <c r="IG14">
        <v>6.2551886799999998</v>
      </c>
      <c r="IH14">
        <v>6.53412419</v>
      </c>
      <c r="II14">
        <v>6.1646682699999999</v>
      </c>
      <c r="IJ14">
        <v>6.4154682699999999</v>
      </c>
      <c r="IK14">
        <v>6.5196171700000001</v>
      </c>
      <c r="IL14">
        <v>5.8690825100000001</v>
      </c>
      <c r="IM14">
        <v>6.2115223999999998</v>
      </c>
      <c r="IN14">
        <v>6.5453102899999998</v>
      </c>
      <c r="IO14">
        <v>6.4098144499999998</v>
      </c>
      <c r="IP14">
        <v>6.1111562399999997</v>
      </c>
      <c r="IQ14">
        <v>6.7829046399999999</v>
      </c>
      <c r="IR14">
        <v>6.0673152400000001</v>
      </c>
      <c r="IS14">
        <v>5.8812406800000003</v>
      </c>
      <c r="IT14">
        <v>6.6806497299999998</v>
      </c>
      <c r="IU14">
        <v>6.3057550500000001</v>
      </c>
      <c r="IV14">
        <v>6.5244021400000003</v>
      </c>
      <c r="IW14">
        <v>6.5343820199999998</v>
      </c>
      <c r="IX14">
        <v>5.74578144</v>
      </c>
      <c r="IY14">
        <v>6.1174428299999999</v>
      </c>
      <c r="IZ14">
        <v>6.5443436100000003</v>
      </c>
      <c r="JA14">
        <v>6.3030026599999998</v>
      </c>
      <c r="JB14">
        <v>5.4569617099999999</v>
      </c>
      <c r="JC14">
        <v>6.2870439200000003</v>
      </c>
      <c r="JD14">
        <v>5.8819558699999996</v>
      </c>
      <c r="JK14" s="21"/>
      <c r="JL14" s="21"/>
      <c r="JM14" s="20"/>
      <c r="JN14" s="35"/>
      <c r="JO14" s="35"/>
      <c r="JP14" s="35"/>
      <c r="JQ14" s="41"/>
      <c r="JR14" s="35"/>
      <c r="JS14" s="35"/>
      <c r="JT14" s="35"/>
      <c r="JU14" s="35"/>
      <c r="JV14" s="35"/>
      <c r="JW14" s="35"/>
    </row>
    <row r="15" spans="1:283" ht="13.8" x14ac:dyDescent="0.3">
      <c r="A15" s="19" t="s">
        <v>11</v>
      </c>
      <c r="B15" s="18" t="s">
        <v>48</v>
      </c>
      <c r="C15" s="14">
        <v>187</v>
      </c>
      <c r="D15" s="13">
        <v>6.1340915699999998</v>
      </c>
      <c r="E15" s="12">
        <v>6.0186098499999998</v>
      </c>
      <c r="F15">
        <v>6.1149469700000001</v>
      </c>
      <c r="G15">
        <v>6.3640833299999997</v>
      </c>
      <c r="H15">
        <v>6.1604710000000003</v>
      </c>
      <c r="I15">
        <v>5.9608216900000004</v>
      </c>
      <c r="J15">
        <v>6.0273005900000003</v>
      </c>
      <c r="K15">
        <v>5.9904865699999998</v>
      </c>
      <c r="L15">
        <v>6.2360552299999998</v>
      </c>
      <c r="M15">
        <v>5.8484014599999998</v>
      </c>
      <c r="N15">
        <v>5.9739010099999996</v>
      </c>
      <c r="O15">
        <v>6.2023856999999998</v>
      </c>
      <c r="P15">
        <v>6.1420517700000001</v>
      </c>
      <c r="Q15">
        <v>6.0456744899999997</v>
      </c>
      <c r="R15">
        <v>6.1230620800000004</v>
      </c>
      <c r="S15">
        <v>6.2266522999999996</v>
      </c>
      <c r="T15">
        <v>6.3396231900000002</v>
      </c>
      <c r="U15">
        <v>5.9092811699999999</v>
      </c>
      <c r="V15">
        <v>6.2509224200000002</v>
      </c>
      <c r="W15">
        <v>5.9912091700000003</v>
      </c>
      <c r="X15">
        <v>6.2571318800000002</v>
      </c>
      <c r="Y15">
        <v>6.0260777499999998</v>
      </c>
      <c r="Z15">
        <v>5.6775629199999997</v>
      </c>
      <c r="AA15">
        <v>6.0848984399999999</v>
      </c>
      <c r="AB15">
        <v>6.0258031900000004</v>
      </c>
      <c r="AC15">
        <v>6.2363925</v>
      </c>
      <c r="AD15">
        <v>6.2338603700000004</v>
      </c>
      <c r="AE15">
        <v>5.7756816500000001</v>
      </c>
      <c r="AF15">
        <v>6.0282616899999999</v>
      </c>
      <c r="AG15">
        <v>6.2194240699999996</v>
      </c>
      <c r="AH15">
        <v>6.1227569500000003</v>
      </c>
      <c r="AI15">
        <v>6.0308212000000001</v>
      </c>
      <c r="AJ15">
        <v>6.1848574200000002</v>
      </c>
      <c r="AK15">
        <v>6.1985671099999999</v>
      </c>
      <c r="AL15">
        <v>6.2979955600000004</v>
      </c>
      <c r="AM15">
        <v>6.2326659099999997</v>
      </c>
      <c r="AN15">
        <v>6.2010173599999998</v>
      </c>
      <c r="AO15">
        <v>6.2458257599999998</v>
      </c>
      <c r="AP15">
        <v>5.92752341</v>
      </c>
      <c r="AQ15">
        <v>6.0190712</v>
      </c>
      <c r="AR15">
        <v>6.1350982800000002</v>
      </c>
      <c r="AS15">
        <v>5.8287763699999999</v>
      </c>
      <c r="AT15">
        <v>6.1490414299999996</v>
      </c>
      <c r="AU15">
        <v>6.1083944399999996</v>
      </c>
      <c r="AV15">
        <v>6.5765308200000003</v>
      </c>
      <c r="AW15">
        <v>6.0995365100000001</v>
      </c>
      <c r="AX15">
        <v>6.2344345399999996</v>
      </c>
      <c r="AY15">
        <v>6.18598362</v>
      </c>
      <c r="AZ15">
        <v>5.5321207299999999</v>
      </c>
      <c r="BA15">
        <v>5.9479535700000001</v>
      </c>
      <c r="BB15">
        <v>6.0961475199999997</v>
      </c>
      <c r="BC15">
        <v>6.28752757</v>
      </c>
      <c r="BD15">
        <v>5.6838453299999996</v>
      </c>
      <c r="BE15">
        <v>6.1560949000000003</v>
      </c>
      <c r="BF15">
        <v>6.2462646399999997</v>
      </c>
      <c r="BG15">
        <v>6.3757242600000001</v>
      </c>
      <c r="BH15">
        <v>6.25782624</v>
      </c>
      <c r="BI15">
        <v>6.0566351799999998</v>
      </c>
      <c r="BJ15">
        <v>6.0177526400000003</v>
      </c>
      <c r="BK15">
        <v>6.2178402100000003</v>
      </c>
      <c r="BL15">
        <v>6.1959159000000001</v>
      </c>
      <c r="BM15">
        <v>6.4612375499999999</v>
      </c>
      <c r="BN15">
        <v>6.2479773400000003</v>
      </c>
      <c r="BO15">
        <v>6.0007041399999999</v>
      </c>
      <c r="BP15">
        <v>6.05732202</v>
      </c>
      <c r="BQ15">
        <v>5.9478267999999996</v>
      </c>
      <c r="BR15">
        <v>5.9911870399999998</v>
      </c>
      <c r="BS15">
        <v>6.0615077900000003</v>
      </c>
      <c r="BT15">
        <v>6.0482346099999997</v>
      </c>
      <c r="BU15">
        <v>6.4321323499999998</v>
      </c>
      <c r="BV15">
        <v>6.2941426299999996</v>
      </c>
      <c r="BW15">
        <v>5.8956542199999999</v>
      </c>
      <c r="BX15">
        <v>6.2349437200000004</v>
      </c>
      <c r="BY15">
        <v>6.28429079</v>
      </c>
      <c r="BZ15">
        <v>6.3570894300000003</v>
      </c>
      <c r="CA15">
        <v>6.1200452299999997</v>
      </c>
      <c r="CB15">
        <v>5.99383248</v>
      </c>
      <c r="CC15">
        <v>6.1085196799999997</v>
      </c>
      <c r="CD15">
        <v>5.8977535699999999</v>
      </c>
      <c r="CE15">
        <v>6.3104370100000002</v>
      </c>
      <c r="CF15">
        <v>6.3453480000000004</v>
      </c>
      <c r="CG15">
        <v>6.2206252299999996</v>
      </c>
      <c r="CH15">
        <v>6.1796823700000001</v>
      </c>
      <c r="CI15">
        <v>5.9870175400000001</v>
      </c>
      <c r="CJ15">
        <v>5.7095397300000004</v>
      </c>
      <c r="CK15">
        <v>6.1634053299999998</v>
      </c>
      <c r="CL15">
        <v>6.1516328400000004</v>
      </c>
      <c r="CM15">
        <v>5.8515221899999998</v>
      </c>
      <c r="CN15">
        <v>6.3226022300000002</v>
      </c>
      <c r="CO15">
        <v>6.1350973900000003</v>
      </c>
      <c r="CP15">
        <v>6.4311691299999998</v>
      </c>
      <c r="CQ15">
        <v>5.9268097900000001</v>
      </c>
      <c r="CR15">
        <v>6.09442196</v>
      </c>
      <c r="CS15">
        <v>6.1635846900000004</v>
      </c>
      <c r="CT15">
        <v>6.3026098099999999</v>
      </c>
      <c r="CU15">
        <v>6.2189103699999997</v>
      </c>
      <c r="CV15">
        <v>6.3218773800000001</v>
      </c>
      <c r="CW15">
        <v>6.2239586999999998</v>
      </c>
      <c r="CX15">
        <v>6.3034551700000003</v>
      </c>
      <c r="CY15">
        <v>6.3392840499999998</v>
      </c>
      <c r="CZ15">
        <v>6.1883167600000002</v>
      </c>
      <c r="DA15">
        <v>6.4208814500000004</v>
      </c>
      <c r="DB15">
        <v>6.3149156800000004</v>
      </c>
      <c r="DC15">
        <v>5.8685581899999999</v>
      </c>
      <c r="DD15">
        <v>6.1444571699999999</v>
      </c>
      <c r="DE15">
        <v>5.88011909</v>
      </c>
      <c r="DF15">
        <v>6.0349252</v>
      </c>
      <c r="DG15">
        <v>6.1340915699999998</v>
      </c>
      <c r="DH15">
        <v>6.1340915699999998</v>
      </c>
      <c r="DI15">
        <v>6.1340915699999998</v>
      </c>
      <c r="DJ15">
        <v>6.1340915699999998</v>
      </c>
      <c r="DK15">
        <v>5.9702030400000003</v>
      </c>
      <c r="DL15">
        <v>5.9110159700000002</v>
      </c>
      <c r="DM15">
        <v>6.0081732700000003</v>
      </c>
      <c r="DN15">
        <v>6.3067895399999996</v>
      </c>
      <c r="DO15">
        <v>6.2496083999999996</v>
      </c>
      <c r="DP15">
        <v>6.7376173100000001</v>
      </c>
      <c r="DQ15">
        <v>6.0500197399999998</v>
      </c>
      <c r="DR15">
        <v>6.3481209200000004</v>
      </c>
      <c r="DS15">
        <v>6.5518948899999998</v>
      </c>
      <c r="DT15">
        <v>6.3433294099999999</v>
      </c>
      <c r="DU15">
        <v>5.9075913900000003</v>
      </c>
      <c r="DV15">
        <v>6.4974548099999998</v>
      </c>
      <c r="DW15">
        <v>6.3614953400000003</v>
      </c>
      <c r="DX15">
        <v>5.9893433099999998</v>
      </c>
      <c r="DY15">
        <v>6.5005582100000003</v>
      </c>
      <c r="DZ15">
        <v>6.2634502200000002</v>
      </c>
      <c r="EA15">
        <v>6.5187880199999997</v>
      </c>
      <c r="EB15">
        <v>6.1804938099999998</v>
      </c>
      <c r="EC15">
        <v>6.2071864899999998</v>
      </c>
      <c r="ED15">
        <v>6.5545500700000003</v>
      </c>
      <c r="EE15">
        <v>5.5472796200000003</v>
      </c>
      <c r="EF15">
        <v>6.7818625399999997</v>
      </c>
      <c r="EG15">
        <v>5.8947845299999999</v>
      </c>
      <c r="EH15">
        <v>6.7661597999999996</v>
      </c>
      <c r="EI15">
        <v>5.4620853800000004</v>
      </c>
      <c r="EJ15">
        <v>5.3255550400000002</v>
      </c>
      <c r="EK15">
        <v>6.1605482800000004</v>
      </c>
      <c r="EL15">
        <v>5.99280393</v>
      </c>
      <c r="EM15">
        <v>6.5238385900000004</v>
      </c>
      <c r="EN15">
        <v>6.3465939999999996</v>
      </c>
      <c r="EO15">
        <v>6.1623352000000002</v>
      </c>
      <c r="EP15">
        <v>5.8751344400000001</v>
      </c>
      <c r="EQ15">
        <v>5.7250469400000004</v>
      </c>
      <c r="ER15">
        <v>6.3283935900000001</v>
      </c>
      <c r="ES15">
        <v>6.2034320899999997</v>
      </c>
      <c r="ET15">
        <v>6.3124110900000003</v>
      </c>
      <c r="EU15">
        <v>5.8501512499999997</v>
      </c>
      <c r="EV15">
        <v>6.4331012999999997</v>
      </c>
      <c r="EW15">
        <v>6.4649441000000003</v>
      </c>
      <c r="EX15">
        <v>6.1173577400000001</v>
      </c>
      <c r="EY15">
        <v>6.2001705600000001</v>
      </c>
      <c r="EZ15">
        <v>6.2279195200000004</v>
      </c>
      <c r="FA15">
        <v>5.7822282999999999</v>
      </c>
      <c r="FB15">
        <v>6.5629264699999998</v>
      </c>
      <c r="FC15">
        <v>6.1194519600000001</v>
      </c>
      <c r="FD15">
        <v>6.1166355499999998</v>
      </c>
      <c r="FE15">
        <v>6.3952526499999998</v>
      </c>
      <c r="FF15">
        <v>6.2631629699999998</v>
      </c>
      <c r="FG15">
        <v>6.2782513800000004</v>
      </c>
      <c r="FH15">
        <v>5.8572967499999997</v>
      </c>
      <c r="FI15">
        <v>6.4510759799999997</v>
      </c>
      <c r="FJ15">
        <v>6.8064474500000003</v>
      </c>
      <c r="FK15">
        <v>5.9449292299999996</v>
      </c>
      <c r="FL15">
        <v>5.5005631399999997</v>
      </c>
      <c r="FM15">
        <v>6.0455344699999998</v>
      </c>
      <c r="FN15">
        <v>5.9027371100000003</v>
      </c>
      <c r="FO15">
        <v>6.1696201500000001</v>
      </c>
      <c r="FP15">
        <v>6.2356540300000001</v>
      </c>
      <c r="FQ15">
        <v>6.0281978499999997</v>
      </c>
      <c r="FR15">
        <v>6.2919287400000004</v>
      </c>
      <c r="FS15">
        <v>6.5721190600000003</v>
      </c>
      <c r="FT15">
        <v>6.1288457699999999</v>
      </c>
      <c r="FU15">
        <v>6.4455709700000003</v>
      </c>
      <c r="FV15">
        <v>5.44239213</v>
      </c>
      <c r="FW15">
        <v>6.1723496000000004</v>
      </c>
      <c r="FX15">
        <v>6.7774115300000002</v>
      </c>
      <c r="FY15">
        <v>6.60564631</v>
      </c>
      <c r="FZ15">
        <v>5.5395364799999998</v>
      </c>
      <c r="GA15">
        <v>5.6822503600000003</v>
      </c>
      <c r="GB15">
        <v>5.91514965</v>
      </c>
      <c r="GC15">
        <v>6.6503269500000002</v>
      </c>
      <c r="GD15">
        <v>6.3097975100000001</v>
      </c>
      <c r="GE15">
        <v>6.2364558700000003</v>
      </c>
      <c r="GF15">
        <v>5.9352831699999999</v>
      </c>
      <c r="GG15">
        <v>6.5336221999999999</v>
      </c>
      <c r="GH15">
        <v>5.9433564299999997</v>
      </c>
      <c r="GI15">
        <v>5.7948851000000001</v>
      </c>
      <c r="GJ15">
        <v>6.3529655600000003</v>
      </c>
      <c r="GK15">
        <v>5.9437721799999998</v>
      </c>
      <c r="GL15">
        <v>5.5929833000000002</v>
      </c>
      <c r="GM15">
        <v>6.2686725900000004</v>
      </c>
      <c r="GN15">
        <v>6.9853941099999997</v>
      </c>
      <c r="GO15">
        <v>5.8522207499999999</v>
      </c>
      <c r="GP15">
        <v>5.6952177900000001</v>
      </c>
      <c r="GQ15">
        <v>6.58188833</v>
      </c>
      <c r="GR15">
        <v>6.9391887600000004</v>
      </c>
      <c r="GS15">
        <v>5.9164568400000004</v>
      </c>
      <c r="GT15">
        <v>4.8545027799999998</v>
      </c>
      <c r="GU15">
        <v>5.3967025099999999</v>
      </c>
      <c r="GV15">
        <v>5.8032328</v>
      </c>
      <c r="GW15">
        <v>5.8777752799999998</v>
      </c>
      <c r="GX15">
        <v>5.6855424399999999</v>
      </c>
      <c r="GY15">
        <v>6.1515418100000003</v>
      </c>
      <c r="GZ15">
        <v>6.0452190100000003</v>
      </c>
      <c r="HA15">
        <v>5.6643571699999997</v>
      </c>
      <c r="HB15">
        <v>6.0337244700000001</v>
      </c>
      <c r="HC15">
        <v>6.0078171100000004</v>
      </c>
      <c r="HD15">
        <v>6.1177978</v>
      </c>
      <c r="HE15">
        <v>6.4726008799999999</v>
      </c>
      <c r="HF15">
        <v>6.20965334</v>
      </c>
      <c r="HG15">
        <v>6.2253098099999997</v>
      </c>
      <c r="HH15">
        <v>6.0793751800000004</v>
      </c>
      <c r="HI15">
        <v>6.2194246299999998</v>
      </c>
      <c r="HJ15">
        <v>6.1815135799999998</v>
      </c>
      <c r="HK15">
        <v>6.0837014600000003</v>
      </c>
      <c r="HL15">
        <v>6.1315653000000001</v>
      </c>
      <c r="HM15">
        <v>6.04333922</v>
      </c>
      <c r="HN15">
        <v>6.2797360500000003</v>
      </c>
      <c r="HO15">
        <v>5.9628659900000001</v>
      </c>
      <c r="HP15">
        <v>5.8396910899999996</v>
      </c>
      <c r="HQ15">
        <v>6.2097393099999998</v>
      </c>
      <c r="HR15">
        <v>6.0077920100000002</v>
      </c>
      <c r="HS15">
        <v>5.9695278199999997</v>
      </c>
      <c r="HT15">
        <v>5.9761162499999996</v>
      </c>
      <c r="HU15">
        <v>6.5559510400000001</v>
      </c>
      <c r="HV15">
        <v>6.3000773499999996</v>
      </c>
      <c r="HW15">
        <v>6.1697860499999999</v>
      </c>
      <c r="HX15">
        <v>6.1409927700000004</v>
      </c>
      <c r="HY15">
        <v>6.1499124800000002</v>
      </c>
      <c r="HZ15">
        <v>6.1482238100000002</v>
      </c>
      <c r="IA15">
        <v>6.0690269099999998</v>
      </c>
      <c r="IB15">
        <v>6.2025439200000001</v>
      </c>
      <c r="IC15">
        <v>6.3992126799999998</v>
      </c>
      <c r="ID15">
        <v>5.7074752999999996</v>
      </c>
      <c r="IE15">
        <v>6.1379293700000002</v>
      </c>
      <c r="IF15">
        <v>5.78960776</v>
      </c>
      <c r="IG15">
        <v>6.1149471599999998</v>
      </c>
      <c r="IH15">
        <v>6.4250898599999999</v>
      </c>
      <c r="II15">
        <v>6.0030004799999999</v>
      </c>
      <c r="IJ15">
        <v>6.31366681</v>
      </c>
      <c r="IK15">
        <v>6.4314639199999997</v>
      </c>
      <c r="IL15">
        <v>5.6662857500000001</v>
      </c>
      <c r="IM15">
        <v>6.0593359800000002</v>
      </c>
      <c r="IN15">
        <v>6.3841306700000002</v>
      </c>
      <c r="IO15">
        <v>6.2838677199999999</v>
      </c>
      <c r="IP15">
        <v>5.9640083400000004</v>
      </c>
      <c r="IQ15">
        <v>6.6650084400000003</v>
      </c>
      <c r="IR15">
        <v>5.9360158299999997</v>
      </c>
      <c r="IS15">
        <v>5.7469277500000002</v>
      </c>
      <c r="IT15">
        <v>6.4952479399999996</v>
      </c>
      <c r="IU15">
        <v>6.2012979399999999</v>
      </c>
      <c r="IV15">
        <v>6.3892285600000003</v>
      </c>
      <c r="IW15">
        <v>6.4389583000000004</v>
      </c>
      <c r="IX15">
        <v>5.55365909</v>
      </c>
      <c r="IY15">
        <v>5.9806690800000002</v>
      </c>
      <c r="IZ15">
        <v>6.4194416700000003</v>
      </c>
      <c r="JA15">
        <v>6.1410272900000002</v>
      </c>
      <c r="JB15">
        <v>5.3478801799999998</v>
      </c>
      <c r="JC15">
        <v>6.16433461</v>
      </c>
      <c r="JD15">
        <v>5.7610395900000002</v>
      </c>
      <c r="JK15" s="21"/>
      <c r="JL15" s="21"/>
      <c r="JM15" s="20"/>
      <c r="JN15" s="35"/>
      <c r="JO15" s="35"/>
      <c r="JP15" s="35"/>
      <c r="JQ15" s="41"/>
      <c r="JR15" s="35"/>
      <c r="JS15" s="35"/>
      <c r="JT15" s="35"/>
      <c r="JU15" s="35"/>
      <c r="JV15" s="35"/>
      <c r="JW15" s="35"/>
    </row>
    <row r="16" spans="1:283" ht="13.8" x14ac:dyDescent="0.3">
      <c r="A16" s="19" t="s">
        <v>11</v>
      </c>
      <c r="B16" s="18" t="s">
        <v>48</v>
      </c>
      <c r="C16" s="14">
        <v>220</v>
      </c>
      <c r="D16" s="13">
        <v>5.8814032100000002</v>
      </c>
      <c r="E16" s="12">
        <v>5.7631555900000002</v>
      </c>
      <c r="F16">
        <v>5.8626051600000002</v>
      </c>
      <c r="G16">
        <v>6.1199098899999997</v>
      </c>
      <c r="H16">
        <v>5.9126377999999997</v>
      </c>
      <c r="I16">
        <v>5.7026044899999997</v>
      </c>
      <c r="J16">
        <v>5.78201739</v>
      </c>
      <c r="K16">
        <v>5.7611996300000001</v>
      </c>
      <c r="L16">
        <v>5.9848972299999996</v>
      </c>
      <c r="M16">
        <v>5.5969958100000001</v>
      </c>
      <c r="N16">
        <v>5.7332548000000001</v>
      </c>
      <c r="O16">
        <v>5.9252611999999996</v>
      </c>
      <c r="P16">
        <v>5.9105707799999996</v>
      </c>
      <c r="Q16">
        <v>5.7982924000000002</v>
      </c>
      <c r="R16">
        <v>5.8923818499999996</v>
      </c>
      <c r="S16">
        <v>5.9826780900000003</v>
      </c>
      <c r="T16">
        <v>6.0897335799999999</v>
      </c>
      <c r="U16">
        <v>5.66634291</v>
      </c>
      <c r="V16">
        <v>6.0068198600000002</v>
      </c>
      <c r="W16">
        <v>5.7352069300000004</v>
      </c>
      <c r="X16">
        <v>5.9906371500000004</v>
      </c>
      <c r="Y16">
        <v>5.7496177199999998</v>
      </c>
      <c r="Z16">
        <v>5.4087416800000003</v>
      </c>
      <c r="AA16">
        <v>5.8343518899999998</v>
      </c>
      <c r="AB16">
        <v>5.7756368599999997</v>
      </c>
      <c r="AC16">
        <v>6.0047547999999997</v>
      </c>
      <c r="AD16">
        <v>5.9393018900000003</v>
      </c>
      <c r="AE16">
        <v>5.5341432099999999</v>
      </c>
      <c r="AF16">
        <v>5.7767601900000001</v>
      </c>
      <c r="AG16">
        <v>5.95787888</v>
      </c>
      <c r="AH16">
        <v>5.8739640800000004</v>
      </c>
      <c r="AI16">
        <v>5.7861724099999998</v>
      </c>
      <c r="AJ16">
        <v>5.9327548500000002</v>
      </c>
      <c r="AK16">
        <v>5.9446027600000004</v>
      </c>
      <c r="AL16">
        <v>6.0338114899999997</v>
      </c>
      <c r="AM16">
        <v>5.9782757399999999</v>
      </c>
      <c r="AN16">
        <v>5.95945634</v>
      </c>
      <c r="AO16">
        <v>5.9933732199999996</v>
      </c>
      <c r="AP16">
        <v>5.6850815499999996</v>
      </c>
      <c r="AQ16">
        <v>5.7521577300000004</v>
      </c>
      <c r="AR16">
        <v>5.87128607</v>
      </c>
      <c r="AS16">
        <v>5.5941790899999999</v>
      </c>
      <c r="AT16">
        <v>5.9004688400000003</v>
      </c>
      <c r="AU16">
        <v>5.8656287699999998</v>
      </c>
      <c r="AV16">
        <v>6.2770039999999998</v>
      </c>
      <c r="AW16">
        <v>5.8633693400000002</v>
      </c>
      <c r="AX16">
        <v>5.9958462700000004</v>
      </c>
      <c r="AY16">
        <v>5.9549921499999998</v>
      </c>
      <c r="AZ16">
        <v>5.3566797299999998</v>
      </c>
      <c r="BA16">
        <v>5.7010139000000004</v>
      </c>
      <c r="BB16">
        <v>5.83053942</v>
      </c>
      <c r="BC16">
        <v>6.0101813599999998</v>
      </c>
      <c r="BD16">
        <v>5.4337389500000004</v>
      </c>
      <c r="BE16">
        <v>5.91472804</v>
      </c>
      <c r="BF16">
        <v>5.9970801399999996</v>
      </c>
      <c r="BG16">
        <v>6.1151427800000002</v>
      </c>
      <c r="BH16">
        <v>5.9928853200000001</v>
      </c>
      <c r="BI16">
        <v>5.8173589000000003</v>
      </c>
      <c r="BJ16">
        <v>5.7751162799999998</v>
      </c>
      <c r="BK16">
        <v>5.9793830799999999</v>
      </c>
      <c r="BL16">
        <v>5.9278773200000003</v>
      </c>
      <c r="BM16">
        <v>6.1925768000000003</v>
      </c>
      <c r="BN16">
        <v>5.9974195799999999</v>
      </c>
      <c r="BO16">
        <v>5.7622314499999998</v>
      </c>
      <c r="BP16">
        <v>5.7880802899999999</v>
      </c>
      <c r="BQ16">
        <v>5.6959134300000001</v>
      </c>
      <c r="BR16">
        <v>5.7485478900000002</v>
      </c>
      <c r="BS16">
        <v>5.8090624699999998</v>
      </c>
      <c r="BT16">
        <v>5.7826422800000001</v>
      </c>
      <c r="BU16">
        <v>6.1469978899999997</v>
      </c>
      <c r="BV16">
        <v>6.0303224599999998</v>
      </c>
      <c r="BW16">
        <v>5.65462811</v>
      </c>
      <c r="BX16">
        <v>5.9838271900000004</v>
      </c>
      <c r="BY16">
        <v>6.0211283900000003</v>
      </c>
      <c r="BZ16">
        <v>6.0992004599999996</v>
      </c>
      <c r="CA16">
        <v>5.8840780700000002</v>
      </c>
      <c r="CB16">
        <v>5.7592452500000002</v>
      </c>
      <c r="CC16">
        <v>5.8578029999999996</v>
      </c>
      <c r="CD16">
        <v>5.6391724300000003</v>
      </c>
      <c r="CE16">
        <v>6.0841057200000002</v>
      </c>
      <c r="CF16">
        <v>6.1114453800000001</v>
      </c>
      <c r="CG16">
        <v>5.9591376499999997</v>
      </c>
      <c r="CH16">
        <v>5.9395395000000004</v>
      </c>
      <c r="CI16">
        <v>5.7502317500000002</v>
      </c>
      <c r="CJ16">
        <v>5.4684396700000004</v>
      </c>
      <c r="CK16">
        <v>5.9364456800000003</v>
      </c>
      <c r="CL16">
        <v>5.8920498700000001</v>
      </c>
      <c r="CM16">
        <v>5.6071887199999999</v>
      </c>
      <c r="CN16">
        <v>6.08502031</v>
      </c>
      <c r="CO16">
        <v>5.8818511000000004</v>
      </c>
      <c r="CP16">
        <v>6.15988851</v>
      </c>
      <c r="CQ16">
        <v>5.66656212</v>
      </c>
      <c r="CR16">
        <v>5.8316429699999999</v>
      </c>
      <c r="CS16">
        <v>5.9335303899999996</v>
      </c>
      <c r="CT16">
        <v>6.0289052200000004</v>
      </c>
      <c r="CU16">
        <v>5.9741881499999998</v>
      </c>
      <c r="CV16">
        <v>6.0495266499999998</v>
      </c>
      <c r="CW16">
        <v>5.9293318399999997</v>
      </c>
      <c r="CX16">
        <v>6.0525984800000003</v>
      </c>
      <c r="CY16">
        <v>6.0611231800000001</v>
      </c>
      <c r="CZ16">
        <v>5.9236603600000004</v>
      </c>
      <c r="DA16">
        <v>6.1538491100000003</v>
      </c>
      <c r="DB16">
        <v>6.0649088300000003</v>
      </c>
      <c r="DC16">
        <v>5.6158272</v>
      </c>
      <c r="DD16">
        <v>5.8932759099999998</v>
      </c>
      <c r="DE16">
        <v>5.6328162600000002</v>
      </c>
      <c r="DF16">
        <v>5.8201413300000002</v>
      </c>
      <c r="DG16">
        <v>5.8814032100000002</v>
      </c>
      <c r="DH16">
        <v>5.8814032100000002</v>
      </c>
      <c r="DI16">
        <v>5.8814032100000002</v>
      </c>
      <c r="DJ16">
        <v>5.8814032100000002</v>
      </c>
      <c r="DK16">
        <v>5.7330737699999998</v>
      </c>
      <c r="DL16">
        <v>5.6467737500000004</v>
      </c>
      <c r="DM16">
        <v>5.7770489899999999</v>
      </c>
      <c r="DN16">
        <v>6.0627905499999999</v>
      </c>
      <c r="DO16">
        <v>5.9903386799999998</v>
      </c>
      <c r="DP16">
        <v>6.43940555</v>
      </c>
      <c r="DQ16">
        <v>5.7754795100000003</v>
      </c>
      <c r="DR16">
        <v>6.0990964700000001</v>
      </c>
      <c r="DS16">
        <v>6.2934773100000001</v>
      </c>
      <c r="DT16">
        <v>6.0847232299999998</v>
      </c>
      <c r="DU16">
        <v>5.6343974399999999</v>
      </c>
      <c r="DV16">
        <v>6.2388943499999998</v>
      </c>
      <c r="DW16">
        <v>6.1026881199999998</v>
      </c>
      <c r="DX16">
        <v>5.7143990899999997</v>
      </c>
      <c r="DY16">
        <v>6.2239836100000003</v>
      </c>
      <c r="DZ16">
        <v>6.0543563300000001</v>
      </c>
      <c r="EA16">
        <v>6.2696682099999999</v>
      </c>
      <c r="EB16">
        <v>5.91823619</v>
      </c>
      <c r="EC16">
        <v>5.92825925</v>
      </c>
      <c r="ED16">
        <v>6.2686489500000002</v>
      </c>
      <c r="EE16">
        <v>5.3508952499999998</v>
      </c>
      <c r="EF16">
        <v>6.4735125299999998</v>
      </c>
      <c r="EG16">
        <v>5.6511810699999998</v>
      </c>
      <c r="EH16">
        <v>6.4536287400000001</v>
      </c>
      <c r="EI16">
        <v>5.2350213400000003</v>
      </c>
      <c r="EJ16">
        <v>5.1301103599999998</v>
      </c>
      <c r="EK16">
        <v>5.9431301999999997</v>
      </c>
      <c r="EL16">
        <v>5.75261055</v>
      </c>
      <c r="EM16">
        <v>6.2658861400000001</v>
      </c>
      <c r="EN16">
        <v>6.0796040400000004</v>
      </c>
      <c r="EO16">
        <v>5.8906468099999998</v>
      </c>
      <c r="EP16">
        <v>5.6258967599999998</v>
      </c>
      <c r="EQ16">
        <v>5.4954961899999999</v>
      </c>
      <c r="ER16">
        <v>6.0931417100000003</v>
      </c>
      <c r="ES16">
        <v>5.9892481599999998</v>
      </c>
      <c r="ET16">
        <v>6.0724579900000002</v>
      </c>
      <c r="EU16">
        <v>5.6197245000000002</v>
      </c>
      <c r="EV16">
        <v>6.1574272499999996</v>
      </c>
      <c r="EW16">
        <v>6.1867168599999998</v>
      </c>
      <c r="EX16">
        <v>5.8636754499999997</v>
      </c>
      <c r="EY16">
        <v>5.9608305899999996</v>
      </c>
      <c r="EZ16">
        <v>5.95254379</v>
      </c>
      <c r="FA16">
        <v>5.54484903</v>
      </c>
      <c r="FB16">
        <v>6.3054213099999998</v>
      </c>
      <c r="FC16">
        <v>5.86498879</v>
      </c>
      <c r="FD16">
        <v>5.8484541700000001</v>
      </c>
      <c r="FE16">
        <v>6.1486250099999999</v>
      </c>
      <c r="FF16">
        <v>6.0041160099999997</v>
      </c>
      <c r="FG16">
        <v>6.0197139999999996</v>
      </c>
      <c r="FH16">
        <v>5.6164152100000004</v>
      </c>
      <c r="FI16">
        <v>6.18758784</v>
      </c>
      <c r="FJ16">
        <v>6.5017360000000002</v>
      </c>
      <c r="FK16">
        <v>5.71365327</v>
      </c>
      <c r="FL16">
        <v>5.30393326</v>
      </c>
      <c r="FM16">
        <v>5.7748141999999998</v>
      </c>
      <c r="FN16">
        <v>5.6711218099999998</v>
      </c>
      <c r="FO16">
        <v>5.9312351300000001</v>
      </c>
      <c r="FP16">
        <v>5.9739628900000001</v>
      </c>
      <c r="FQ16">
        <v>5.77519077</v>
      </c>
      <c r="FR16">
        <v>6.0147846899999999</v>
      </c>
      <c r="FS16">
        <v>6.2796616900000002</v>
      </c>
      <c r="FT16">
        <v>5.8664485800000001</v>
      </c>
      <c r="FU16">
        <v>6.1700105399999998</v>
      </c>
      <c r="FV16">
        <v>5.2193662300000003</v>
      </c>
      <c r="FW16">
        <v>5.9261599699999996</v>
      </c>
      <c r="FX16">
        <v>6.4690472100000003</v>
      </c>
      <c r="FY16">
        <v>6.3013335399999999</v>
      </c>
      <c r="FZ16">
        <v>5.3135477399999997</v>
      </c>
      <c r="GA16">
        <v>5.4219206800000004</v>
      </c>
      <c r="GB16">
        <v>5.6672410199999996</v>
      </c>
      <c r="GC16">
        <v>6.3466200099999996</v>
      </c>
      <c r="GD16">
        <v>6.0384654700000002</v>
      </c>
      <c r="GE16">
        <v>5.9634360199999996</v>
      </c>
      <c r="GF16">
        <v>5.6787792599999998</v>
      </c>
      <c r="GG16">
        <v>6.25049031</v>
      </c>
      <c r="GH16">
        <v>5.7198554100000001</v>
      </c>
      <c r="GI16">
        <v>5.5740608199999997</v>
      </c>
      <c r="GJ16">
        <v>6.0779718300000001</v>
      </c>
      <c r="GK16">
        <v>5.6785650299999997</v>
      </c>
      <c r="GL16">
        <v>5.34965125</v>
      </c>
      <c r="GM16">
        <v>6.0185044200000002</v>
      </c>
      <c r="GN16">
        <v>6.68742752</v>
      </c>
      <c r="GO16">
        <v>5.5835018300000003</v>
      </c>
      <c r="GP16">
        <v>5.4934898900000002</v>
      </c>
      <c r="GQ16">
        <v>6.2834552400000003</v>
      </c>
      <c r="GR16">
        <v>6.6466002399999997</v>
      </c>
      <c r="GS16">
        <v>5.67749975</v>
      </c>
      <c r="GT16">
        <v>4.7217571200000004</v>
      </c>
      <c r="GU16">
        <v>5.2018851699999997</v>
      </c>
      <c r="GV16">
        <v>5.5464056299999998</v>
      </c>
      <c r="GW16">
        <v>5.6227265700000002</v>
      </c>
      <c r="GX16">
        <v>5.4405575199999996</v>
      </c>
      <c r="GY16">
        <v>5.8818984499999996</v>
      </c>
      <c r="GZ16">
        <v>5.8197358399999999</v>
      </c>
      <c r="HA16">
        <v>5.4091712799999998</v>
      </c>
      <c r="HB16">
        <v>5.7851788199999996</v>
      </c>
      <c r="HC16">
        <v>5.78045644</v>
      </c>
      <c r="HD16">
        <v>5.8700520300000001</v>
      </c>
      <c r="HE16">
        <v>6.23017062</v>
      </c>
      <c r="HF16">
        <v>5.9371876200000004</v>
      </c>
      <c r="HG16">
        <v>5.9828277500000002</v>
      </c>
      <c r="HH16">
        <v>5.8294024699999998</v>
      </c>
      <c r="HI16">
        <v>5.9552711800000004</v>
      </c>
      <c r="HJ16">
        <v>5.9209117999999998</v>
      </c>
      <c r="HK16">
        <v>5.8387015099999999</v>
      </c>
      <c r="HL16">
        <v>5.8641381700000004</v>
      </c>
      <c r="HM16">
        <v>5.7874997099999996</v>
      </c>
      <c r="HN16">
        <v>6.0094360399999998</v>
      </c>
      <c r="HO16">
        <v>5.7558388300000001</v>
      </c>
      <c r="HP16">
        <v>5.5590216699999999</v>
      </c>
      <c r="HQ16">
        <v>5.9624733000000001</v>
      </c>
      <c r="HR16">
        <v>5.7718799199999999</v>
      </c>
      <c r="HS16">
        <v>5.7133267500000002</v>
      </c>
      <c r="HT16">
        <v>5.7358276100000003</v>
      </c>
      <c r="HU16">
        <v>6.2399820100000003</v>
      </c>
      <c r="HV16">
        <v>6.0300419500000002</v>
      </c>
      <c r="HW16">
        <v>5.9620977000000002</v>
      </c>
      <c r="HX16">
        <v>5.8888968500000001</v>
      </c>
      <c r="HY16">
        <v>5.8923323200000004</v>
      </c>
      <c r="HZ16">
        <v>5.9051238799999997</v>
      </c>
      <c r="IA16">
        <v>5.8275941199999997</v>
      </c>
      <c r="IB16">
        <v>5.9404282000000004</v>
      </c>
      <c r="IC16">
        <v>6.1563207000000002</v>
      </c>
      <c r="ID16">
        <v>5.4398172100000002</v>
      </c>
      <c r="IE16">
        <v>5.8920325699999996</v>
      </c>
      <c r="IF16">
        <v>5.5221559600000001</v>
      </c>
      <c r="IG16">
        <v>5.8659723699999997</v>
      </c>
      <c r="IH16">
        <v>6.1771532899999997</v>
      </c>
      <c r="II16">
        <v>5.7413707399999998</v>
      </c>
      <c r="IJ16">
        <v>6.0929507100000002</v>
      </c>
      <c r="IK16">
        <v>6.1476516400000003</v>
      </c>
      <c r="IL16">
        <v>5.3779479099999996</v>
      </c>
      <c r="IM16">
        <v>5.7985089299999997</v>
      </c>
      <c r="IN16">
        <v>6.12485941</v>
      </c>
      <c r="IO16">
        <v>6.0333877200000003</v>
      </c>
      <c r="IP16">
        <v>5.7082112399999998</v>
      </c>
      <c r="IQ16">
        <v>6.3996181500000002</v>
      </c>
      <c r="IR16">
        <v>5.6871438899999998</v>
      </c>
      <c r="IS16">
        <v>5.4983287900000004</v>
      </c>
      <c r="IT16">
        <v>6.2124176799999997</v>
      </c>
      <c r="IU16">
        <v>5.9711147599999999</v>
      </c>
      <c r="IV16">
        <v>6.1209936599999999</v>
      </c>
      <c r="IW16">
        <v>6.1861265400000001</v>
      </c>
      <c r="IX16">
        <v>5.25141642</v>
      </c>
      <c r="IY16">
        <v>5.7317998599999997</v>
      </c>
      <c r="IZ16">
        <v>6.16899438</v>
      </c>
      <c r="JA16">
        <v>5.8771587199999997</v>
      </c>
      <c r="JB16">
        <v>5.1437143499999998</v>
      </c>
      <c r="JC16">
        <v>5.9285756699999999</v>
      </c>
      <c r="JD16">
        <v>5.5054670999999997</v>
      </c>
      <c r="JK16" s="21"/>
      <c r="JL16" s="21"/>
      <c r="JM16" s="20"/>
      <c r="JN16" s="35"/>
      <c r="JO16" s="35"/>
      <c r="JP16" s="35"/>
      <c r="JQ16" s="41"/>
      <c r="JR16" s="35"/>
      <c r="JS16" s="35"/>
      <c r="JT16" s="35"/>
      <c r="JU16" s="35"/>
      <c r="JV16" s="35"/>
      <c r="JW16" s="35"/>
    </row>
    <row r="17" spans="1:283" ht="13.8" x14ac:dyDescent="0.3">
      <c r="A17" s="19" t="s">
        <v>11</v>
      </c>
      <c r="B17" s="18" t="s">
        <v>48</v>
      </c>
      <c r="C17" s="14">
        <v>249</v>
      </c>
      <c r="D17" s="13">
        <v>5.7553147300000003</v>
      </c>
      <c r="E17" s="12">
        <v>5.6346364700000002</v>
      </c>
      <c r="F17">
        <v>5.7368212300000003</v>
      </c>
      <c r="G17">
        <v>6.0013042199999997</v>
      </c>
      <c r="H17">
        <v>5.7908159799999996</v>
      </c>
      <c r="I17">
        <v>5.5716573299999999</v>
      </c>
      <c r="J17">
        <v>5.6624364900000002</v>
      </c>
      <c r="K17">
        <v>5.6556760400000003</v>
      </c>
      <c r="L17">
        <v>5.8601536100000002</v>
      </c>
      <c r="M17">
        <v>5.47203456</v>
      </c>
      <c r="N17">
        <v>5.61774883</v>
      </c>
      <c r="O17">
        <v>5.7776985400000003</v>
      </c>
      <c r="P17">
        <v>5.8031190800000001</v>
      </c>
      <c r="Q17">
        <v>5.6768670099999996</v>
      </c>
      <c r="R17">
        <v>5.7856338599999999</v>
      </c>
      <c r="S17">
        <v>5.8642475000000003</v>
      </c>
      <c r="T17">
        <v>5.9661046100000004</v>
      </c>
      <c r="U17">
        <v>5.5488227099999996</v>
      </c>
      <c r="V17">
        <v>5.88827648</v>
      </c>
      <c r="W17">
        <v>5.6062062600000004</v>
      </c>
      <c r="X17">
        <v>5.8524158100000001</v>
      </c>
      <c r="Y17">
        <v>5.60263899</v>
      </c>
      <c r="Z17">
        <v>5.2684758199999999</v>
      </c>
      <c r="AA17">
        <v>5.7101456099999996</v>
      </c>
      <c r="AB17">
        <v>5.6517647200000001</v>
      </c>
      <c r="AC17">
        <v>5.8971653899999996</v>
      </c>
      <c r="AD17">
        <v>5.7764184600000004</v>
      </c>
      <c r="AE17">
        <v>5.4178531599999999</v>
      </c>
      <c r="AF17">
        <v>5.6517147200000002</v>
      </c>
      <c r="AG17">
        <v>5.82400713</v>
      </c>
      <c r="AH17">
        <v>5.75129892</v>
      </c>
      <c r="AI17">
        <v>5.6671490200000001</v>
      </c>
      <c r="AJ17">
        <v>5.8071811599999998</v>
      </c>
      <c r="AK17">
        <v>5.8173929600000003</v>
      </c>
      <c r="AL17">
        <v>5.8976207299999999</v>
      </c>
      <c r="AM17">
        <v>5.8506917300000003</v>
      </c>
      <c r="AN17">
        <v>5.8431464399999999</v>
      </c>
      <c r="AO17">
        <v>5.8674919900000004</v>
      </c>
      <c r="AP17">
        <v>5.5679975700000002</v>
      </c>
      <c r="AQ17">
        <v>5.6135684000000001</v>
      </c>
      <c r="AR17">
        <v>5.7354221000000001</v>
      </c>
      <c r="AS17">
        <v>5.4839888200000004</v>
      </c>
      <c r="AT17">
        <v>5.7779972500000003</v>
      </c>
      <c r="AU17">
        <v>5.7482602399999996</v>
      </c>
      <c r="AV17">
        <v>6.1097544600000004</v>
      </c>
      <c r="AW17">
        <v>5.7517994799999999</v>
      </c>
      <c r="AX17">
        <v>5.8821487899999996</v>
      </c>
      <c r="AY17">
        <v>5.8479706399999998</v>
      </c>
      <c r="AZ17">
        <v>5.2984752999999998</v>
      </c>
      <c r="BA17">
        <v>5.5799773000000004</v>
      </c>
      <c r="BB17">
        <v>5.6930972400000002</v>
      </c>
      <c r="BC17">
        <v>5.8624238599999998</v>
      </c>
      <c r="BD17">
        <v>5.3099194799999996</v>
      </c>
      <c r="BE17">
        <v>5.7985887700000003</v>
      </c>
      <c r="BF17">
        <v>5.87407082</v>
      </c>
      <c r="BG17">
        <v>5.9821179300000002</v>
      </c>
      <c r="BH17">
        <v>5.8560294400000004</v>
      </c>
      <c r="BI17">
        <v>5.7030567899999998</v>
      </c>
      <c r="BJ17">
        <v>5.65786137</v>
      </c>
      <c r="BK17">
        <v>5.8658008300000004</v>
      </c>
      <c r="BL17">
        <v>5.7882992499999997</v>
      </c>
      <c r="BM17">
        <v>6.0524519799999998</v>
      </c>
      <c r="BN17">
        <v>5.8732034500000001</v>
      </c>
      <c r="BO17">
        <v>5.64863553</v>
      </c>
      <c r="BP17">
        <v>5.6474449299999998</v>
      </c>
      <c r="BQ17">
        <v>5.5705060099999999</v>
      </c>
      <c r="BR17">
        <v>5.6312905400000002</v>
      </c>
      <c r="BS17">
        <v>5.6831875800000002</v>
      </c>
      <c r="BT17">
        <v>5.6452139499999996</v>
      </c>
      <c r="BU17">
        <v>5.9923961700000001</v>
      </c>
      <c r="BV17">
        <v>5.8944514799999999</v>
      </c>
      <c r="BW17">
        <v>5.5387882800000003</v>
      </c>
      <c r="BX17">
        <v>5.8591200199999998</v>
      </c>
      <c r="BY17">
        <v>5.8858354500000001</v>
      </c>
      <c r="BZ17">
        <v>5.96854175</v>
      </c>
      <c r="CA17">
        <v>5.77268399</v>
      </c>
      <c r="CB17">
        <v>5.6490638300000002</v>
      </c>
      <c r="CC17">
        <v>5.7334472200000004</v>
      </c>
      <c r="CD17">
        <v>5.50790545</v>
      </c>
      <c r="CE17">
        <v>5.9811795300000004</v>
      </c>
      <c r="CF17">
        <v>6.0018655900000004</v>
      </c>
      <c r="CG17">
        <v>5.8253165300000003</v>
      </c>
      <c r="CH17">
        <v>5.8244758599999997</v>
      </c>
      <c r="CI17">
        <v>5.6381182599999997</v>
      </c>
      <c r="CJ17">
        <v>5.3525348499999996</v>
      </c>
      <c r="CK17">
        <v>5.8329672700000001</v>
      </c>
      <c r="CL17">
        <v>5.7599024999999999</v>
      </c>
      <c r="CM17">
        <v>5.4884424200000002</v>
      </c>
      <c r="CN17">
        <v>5.9722071899999998</v>
      </c>
      <c r="CO17">
        <v>5.7552723300000004</v>
      </c>
      <c r="CP17">
        <v>6.0174613900000002</v>
      </c>
      <c r="CQ17">
        <v>5.5338306099999999</v>
      </c>
      <c r="CR17">
        <v>5.69668697</v>
      </c>
      <c r="CS17">
        <v>5.8273324500000001</v>
      </c>
      <c r="CT17">
        <v>5.8843479399999996</v>
      </c>
      <c r="CU17">
        <v>5.8551002299999997</v>
      </c>
      <c r="CV17">
        <v>5.9061591299999998</v>
      </c>
      <c r="CW17">
        <v>5.76638831</v>
      </c>
      <c r="CX17">
        <v>5.9281196600000001</v>
      </c>
      <c r="CY17">
        <v>5.9126497699999998</v>
      </c>
      <c r="CZ17">
        <v>5.7870545099999999</v>
      </c>
      <c r="DA17">
        <v>6.0151553199999999</v>
      </c>
      <c r="DB17">
        <v>5.9411768399999998</v>
      </c>
      <c r="DC17">
        <v>5.4897012600000004</v>
      </c>
      <c r="DD17">
        <v>5.7685118600000003</v>
      </c>
      <c r="DE17">
        <v>5.5114605299999999</v>
      </c>
      <c r="DF17">
        <v>5.7273628499999996</v>
      </c>
      <c r="DG17">
        <v>5.7553147300000003</v>
      </c>
      <c r="DH17">
        <v>5.7553147300000003</v>
      </c>
      <c r="DI17">
        <v>5.7553147300000003</v>
      </c>
      <c r="DJ17">
        <v>5.7553147300000003</v>
      </c>
      <c r="DK17">
        <v>5.6206584399999997</v>
      </c>
      <c r="DL17">
        <v>5.5105318800000003</v>
      </c>
      <c r="DM17">
        <v>5.6699107700000004</v>
      </c>
      <c r="DN17">
        <v>5.9443381799999999</v>
      </c>
      <c r="DO17">
        <v>5.8584665899999999</v>
      </c>
      <c r="DP17">
        <v>6.2733116600000001</v>
      </c>
      <c r="DQ17">
        <v>5.6301878700000003</v>
      </c>
      <c r="DR17">
        <v>5.9762277900000003</v>
      </c>
      <c r="DS17">
        <v>6.1623540600000002</v>
      </c>
      <c r="DT17">
        <v>5.95343424</v>
      </c>
      <c r="DU17">
        <v>5.4902889100000003</v>
      </c>
      <c r="DV17">
        <v>6.10764554</v>
      </c>
      <c r="DW17">
        <v>5.9712224699999998</v>
      </c>
      <c r="DX17">
        <v>5.5687524399999999</v>
      </c>
      <c r="DY17">
        <v>6.0769041899999996</v>
      </c>
      <c r="DZ17">
        <v>5.9665781400000002</v>
      </c>
      <c r="EA17">
        <v>6.1467157300000004</v>
      </c>
      <c r="EB17">
        <v>5.7837383600000001</v>
      </c>
      <c r="EC17">
        <v>5.77911237</v>
      </c>
      <c r="ED17">
        <v>6.1133734999999998</v>
      </c>
      <c r="EE17">
        <v>5.2742860399999998</v>
      </c>
      <c r="EF17">
        <v>6.2985092700000003</v>
      </c>
      <c r="EG17">
        <v>5.5330763100000002</v>
      </c>
      <c r="EH17">
        <v>6.2749512200000002</v>
      </c>
      <c r="EI17">
        <v>5.1314511999999999</v>
      </c>
      <c r="EJ17">
        <v>5.0543269400000002</v>
      </c>
      <c r="EK17">
        <v>5.84803681</v>
      </c>
      <c r="EL17">
        <v>5.63750252</v>
      </c>
      <c r="EM17">
        <v>6.1351716500000002</v>
      </c>
      <c r="EN17">
        <v>5.9409474900000001</v>
      </c>
      <c r="EO17">
        <v>5.74786134</v>
      </c>
      <c r="EP17">
        <v>5.5028406900000002</v>
      </c>
      <c r="EQ17">
        <v>5.3897407700000004</v>
      </c>
      <c r="ER17">
        <v>5.9823761900000001</v>
      </c>
      <c r="ES17">
        <v>5.8969969200000003</v>
      </c>
      <c r="ET17">
        <v>5.9575611000000004</v>
      </c>
      <c r="EU17">
        <v>5.5131992700000003</v>
      </c>
      <c r="EV17">
        <v>6.0111392400000003</v>
      </c>
      <c r="EW17">
        <v>6.0381851299999996</v>
      </c>
      <c r="EX17">
        <v>5.7367135300000003</v>
      </c>
      <c r="EY17">
        <v>5.8464725199999998</v>
      </c>
      <c r="EZ17">
        <v>5.80651793</v>
      </c>
      <c r="FA17">
        <v>5.4322139900000002</v>
      </c>
      <c r="FB17">
        <v>6.1750998900000003</v>
      </c>
      <c r="FC17">
        <v>5.7373406300000003</v>
      </c>
      <c r="FD17">
        <v>5.7087506100000001</v>
      </c>
      <c r="FE17">
        <v>6.0278626300000004</v>
      </c>
      <c r="FF17">
        <v>5.8724396700000003</v>
      </c>
      <c r="FG17">
        <v>5.88848547</v>
      </c>
      <c r="FH17">
        <v>5.5007024199999996</v>
      </c>
      <c r="FI17">
        <v>6.0520086500000003</v>
      </c>
      <c r="FJ17">
        <v>6.3299302600000003</v>
      </c>
      <c r="FK17">
        <v>5.6063817499999997</v>
      </c>
      <c r="FL17">
        <v>5.2271082900000003</v>
      </c>
      <c r="FM17">
        <v>5.6328794999999996</v>
      </c>
      <c r="FN17">
        <v>5.56355209</v>
      </c>
      <c r="FO17">
        <v>5.8177162600000001</v>
      </c>
      <c r="FP17">
        <v>5.8399628699999999</v>
      </c>
      <c r="FQ17">
        <v>5.6488222099999996</v>
      </c>
      <c r="FR17">
        <v>5.8672048400000003</v>
      </c>
      <c r="FS17">
        <v>6.1186246999999998</v>
      </c>
      <c r="FT17">
        <v>5.7318281000000004</v>
      </c>
      <c r="FU17">
        <v>6.0238223599999996</v>
      </c>
      <c r="FV17">
        <v>5.1193447599999997</v>
      </c>
      <c r="FW17">
        <v>5.8057825000000003</v>
      </c>
      <c r="FX17">
        <v>6.2940313699999999</v>
      </c>
      <c r="FY17">
        <v>6.1298781499999997</v>
      </c>
      <c r="FZ17">
        <v>5.2109225800000001</v>
      </c>
      <c r="GA17">
        <v>5.2891171000000003</v>
      </c>
      <c r="GB17">
        <v>5.5453529000000001</v>
      </c>
      <c r="GC17">
        <v>6.1756970200000003</v>
      </c>
      <c r="GD17">
        <v>5.8959931399999999</v>
      </c>
      <c r="GE17">
        <v>5.8194804700000002</v>
      </c>
      <c r="GF17">
        <v>5.5493377300000004</v>
      </c>
      <c r="GG17">
        <v>6.0976484400000004</v>
      </c>
      <c r="GH17">
        <v>5.6194164100000004</v>
      </c>
      <c r="GI17">
        <v>5.4759741200000001</v>
      </c>
      <c r="GJ17">
        <v>5.9322816600000001</v>
      </c>
      <c r="GK17">
        <v>5.5414751999999998</v>
      </c>
      <c r="GL17">
        <v>5.2317849799999996</v>
      </c>
      <c r="GM17">
        <v>5.8946306499999999</v>
      </c>
      <c r="GN17">
        <v>6.5215490899999997</v>
      </c>
      <c r="GO17">
        <v>5.4433258899999997</v>
      </c>
      <c r="GP17">
        <v>5.4121848400000001</v>
      </c>
      <c r="GQ17">
        <v>6.1171668400000003</v>
      </c>
      <c r="GR17">
        <v>6.4854479899999999</v>
      </c>
      <c r="GS17">
        <v>5.5634781599999998</v>
      </c>
      <c r="GT17">
        <v>4.7010728300000002</v>
      </c>
      <c r="GU17">
        <v>5.1266530499999998</v>
      </c>
      <c r="GV17">
        <v>5.4166800200000003</v>
      </c>
      <c r="GW17">
        <v>5.4945638399999996</v>
      </c>
      <c r="GX17">
        <v>5.3212387400000001</v>
      </c>
      <c r="GY17">
        <v>5.7409101400000004</v>
      </c>
      <c r="GZ17">
        <v>5.7175549500000002</v>
      </c>
      <c r="HA17">
        <v>5.28088801</v>
      </c>
      <c r="HB17">
        <v>5.6627308999999997</v>
      </c>
      <c r="HC17">
        <v>5.6766256300000002</v>
      </c>
      <c r="HD17">
        <v>5.7483070300000003</v>
      </c>
      <c r="HE17">
        <v>6.1130968499999998</v>
      </c>
      <c r="HF17">
        <v>5.7937190300000001</v>
      </c>
      <c r="HG17">
        <v>5.8657084399999997</v>
      </c>
      <c r="HH17">
        <v>5.70570047</v>
      </c>
      <c r="HI17">
        <v>5.8191073199999996</v>
      </c>
      <c r="HJ17">
        <v>5.7878691099999999</v>
      </c>
      <c r="HK17">
        <v>5.7193695199999999</v>
      </c>
      <c r="HL17">
        <v>5.7250974499999998</v>
      </c>
      <c r="HM17">
        <v>5.6586420400000002</v>
      </c>
      <c r="HN17">
        <v>5.8678706500000004</v>
      </c>
      <c r="HO17">
        <v>5.6698768599999996</v>
      </c>
      <c r="HP17">
        <v>5.40834379</v>
      </c>
      <c r="HQ17">
        <v>5.8411499200000003</v>
      </c>
      <c r="HR17">
        <v>5.6605342199999997</v>
      </c>
      <c r="HS17">
        <v>5.58415135</v>
      </c>
      <c r="HT17">
        <v>5.6206358600000002</v>
      </c>
      <c r="HU17">
        <v>6.0582832399999997</v>
      </c>
      <c r="HV17">
        <v>5.8887091099999997</v>
      </c>
      <c r="HW17">
        <v>5.8755546900000004</v>
      </c>
      <c r="HX17">
        <v>5.7633289899999998</v>
      </c>
      <c r="HY17">
        <v>5.76194498</v>
      </c>
      <c r="HZ17">
        <v>5.7874616100000003</v>
      </c>
      <c r="IA17">
        <v>5.7113969000000004</v>
      </c>
      <c r="IB17">
        <v>5.8060550600000003</v>
      </c>
      <c r="IC17">
        <v>6.0388411599999996</v>
      </c>
      <c r="ID17">
        <v>5.3005735200000004</v>
      </c>
      <c r="IE17">
        <v>5.7719124400000004</v>
      </c>
      <c r="IF17">
        <v>5.3830935499999999</v>
      </c>
      <c r="IG17">
        <v>5.7431473400000002</v>
      </c>
      <c r="IH17">
        <v>6.0552406300000001</v>
      </c>
      <c r="II17">
        <v>5.6074246900000002</v>
      </c>
      <c r="IJ17">
        <v>5.9949590700000002</v>
      </c>
      <c r="IK17">
        <v>5.9942118500000001</v>
      </c>
      <c r="IL17">
        <v>5.2205310999999996</v>
      </c>
      <c r="IM17">
        <v>5.6652682800000003</v>
      </c>
      <c r="IN17">
        <v>5.9929859700000003</v>
      </c>
      <c r="IO17">
        <v>5.90923993</v>
      </c>
      <c r="IP17">
        <v>5.5793908500000002</v>
      </c>
      <c r="IQ17">
        <v>6.2623673799999997</v>
      </c>
      <c r="IR17">
        <v>5.5644092399999998</v>
      </c>
      <c r="IS17">
        <v>5.37583403</v>
      </c>
      <c r="IT17">
        <v>6.0598408600000004</v>
      </c>
      <c r="IU17">
        <v>5.8648035600000004</v>
      </c>
      <c r="IV17">
        <v>5.9812430799999996</v>
      </c>
      <c r="IW17">
        <v>6.0599120500000003</v>
      </c>
      <c r="IX17">
        <v>5.0817802199999997</v>
      </c>
      <c r="IY17">
        <v>5.6090676000000004</v>
      </c>
      <c r="IZ17">
        <v>6.04487533</v>
      </c>
      <c r="JA17">
        <v>5.7412452099999998</v>
      </c>
      <c r="JB17">
        <v>5.0602668900000003</v>
      </c>
      <c r="JC17">
        <v>5.8173645699999996</v>
      </c>
      <c r="JD17">
        <v>5.3768440899999996</v>
      </c>
      <c r="JK17" s="21"/>
      <c r="JL17" s="21"/>
      <c r="JM17" s="20"/>
      <c r="JN17" s="35"/>
      <c r="JO17" s="35"/>
      <c r="JP17" s="35"/>
      <c r="JQ17" s="41"/>
      <c r="JR17" s="35"/>
      <c r="JS17" s="35"/>
      <c r="JT17" s="35"/>
      <c r="JU17" s="35"/>
      <c r="JV17" s="35"/>
      <c r="JW17" s="35"/>
    </row>
    <row r="18" spans="1:283" ht="13.8" x14ac:dyDescent="0.3">
      <c r="A18" s="19" t="s">
        <v>11</v>
      </c>
      <c r="B18" s="18" t="s">
        <v>48</v>
      </c>
      <c r="C18" s="14">
        <v>277</v>
      </c>
      <c r="D18" s="13">
        <v>5.6912623900000003</v>
      </c>
      <c r="E18" s="12">
        <v>5.5687306599999999</v>
      </c>
      <c r="F18">
        <v>5.6737227900000002</v>
      </c>
      <c r="G18">
        <v>5.9430613399999999</v>
      </c>
      <c r="H18">
        <v>5.7310846199999999</v>
      </c>
      <c r="I18">
        <v>5.5034623399999996</v>
      </c>
      <c r="J18">
        <v>5.6048086699999997</v>
      </c>
      <c r="K18">
        <v>5.6095280900000004</v>
      </c>
      <c r="L18">
        <v>5.79717576</v>
      </c>
      <c r="M18">
        <v>5.4090852500000004</v>
      </c>
      <c r="N18">
        <v>5.5643005499999996</v>
      </c>
      <c r="O18">
        <v>5.6945519400000002</v>
      </c>
      <c r="P18">
        <v>5.7555323700000001</v>
      </c>
      <c r="Q18">
        <v>5.6170452400000004</v>
      </c>
      <c r="R18">
        <v>5.7382399499999996</v>
      </c>
      <c r="S18">
        <v>5.80652262</v>
      </c>
      <c r="T18">
        <v>5.9036510499999997</v>
      </c>
      <c r="U18">
        <v>5.4928348900000001</v>
      </c>
      <c r="V18">
        <v>5.8308015800000002</v>
      </c>
      <c r="W18">
        <v>5.5408685599999998</v>
      </c>
      <c r="X18">
        <v>5.7778448899999999</v>
      </c>
      <c r="Y18">
        <v>5.52113078</v>
      </c>
      <c r="Z18">
        <v>5.1937468200000003</v>
      </c>
      <c r="AA18">
        <v>5.6473649699999999</v>
      </c>
      <c r="AB18">
        <v>5.5903403699999998</v>
      </c>
      <c r="AC18">
        <v>5.8485826400000001</v>
      </c>
      <c r="AD18">
        <v>5.6794222300000001</v>
      </c>
      <c r="AE18">
        <v>5.3635175300000002</v>
      </c>
      <c r="AF18">
        <v>5.5897467299999999</v>
      </c>
      <c r="AG18">
        <v>5.7528944900000001</v>
      </c>
      <c r="AH18">
        <v>5.6905840200000002</v>
      </c>
      <c r="AI18">
        <v>5.6109876700000001</v>
      </c>
      <c r="AJ18">
        <v>5.7438407399999996</v>
      </c>
      <c r="AK18">
        <v>5.7517554300000002</v>
      </c>
      <c r="AL18">
        <v>5.8238821500000002</v>
      </c>
      <c r="AM18">
        <v>5.7851288700000003</v>
      </c>
      <c r="AN18">
        <v>5.7869155299999999</v>
      </c>
      <c r="AO18">
        <v>5.8029404199999997</v>
      </c>
      <c r="AP18">
        <v>5.51248439</v>
      </c>
      <c r="AQ18">
        <v>5.5393355599999996</v>
      </c>
      <c r="AR18">
        <v>5.6628873500000001</v>
      </c>
      <c r="AS18">
        <v>5.4353253700000002</v>
      </c>
      <c r="AT18">
        <v>5.71718817</v>
      </c>
      <c r="AU18">
        <v>5.6920246800000003</v>
      </c>
      <c r="AV18">
        <v>6.0079691100000003</v>
      </c>
      <c r="AW18">
        <v>5.70006652</v>
      </c>
      <c r="AX18">
        <v>5.8279546099999999</v>
      </c>
      <c r="AY18">
        <v>5.8001830099999996</v>
      </c>
      <c r="AZ18">
        <v>5.2950085900000001</v>
      </c>
      <c r="BA18">
        <v>5.5217324000000003</v>
      </c>
      <c r="BB18">
        <v>5.6196387300000001</v>
      </c>
      <c r="BC18">
        <v>5.7782906699999996</v>
      </c>
      <c r="BD18">
        <v>5.25088636</v>
      </c>
      <c r="BE18">
        <v>5.7429219199999997</v>
      </c>
      <c r="BF18">
        <v>5.8121150100000003</v>
      </c>
      <c r="BG18">
        <v>5.9106567600000002</v>
      </c>
      <c r="BH18">
        <v>5.7827432999999999</v>
      </c>
      <c r="BI18">
        <v>5.6491077699999996</v>
      </c>
      <c r="BJ18">
        <v>5.6020418100000002</v>
      </c>
      <c r="BK18">
        <v>5.8116930699999996</v>
      </c>
      <c r="BL18">
        <v>5.7126576299999998</v>
      </c>
      <c r="BM18">
        <v>5.9750612199999997</v>
      </c>
      <c r="BN18">
        <v>5.8102087200000003</v>
      </c>
      <c r="BO18">
        <v>5.59519404</v>
      </c>
      <c r="BP18">
        <v>5.5712991299999999</v>
      </c>
      <c r="BQ18">
        <v>5.50779453</v>
      </c>
      <c r="BR18">
        <v>5.5756055399999997</v>
      </c>
      <c r="BS18">
        <v>5.6197092800000004</v>
      </c>
      <c r="BT18">
        <v>5.5733325799999998</v>
      </c>
      <c r="BU18">
        <v>5.90064177</v>
      </c>
      <c r="BV18">
        <v>5.8213254699999997</v>
      </c>
      <c r="BW18">
        <v>5.4858252299999997</v>
      </c>
      <c r="BX18">
        <v>5.7952903500000001</v>
      </c>
      <c r="BY18">
        <v>5.8134513500000002</v>
      </c>
      <c r="BZ18">
        <v>5.8996228799999999</v>
      </c>
      <c r="CA18">
        <v>5.7217224800000004</v>
      </c>
      <c r="CB18">
        <v>5.5992478600000002</v>
      </c>
      <c r="CC18">
        <v>5.6712383099999997</v>
      </c>
      <c r="CD18">
        <v>5.4404159700000001</v>
      </c>
      <c r="CE18">
        <v>5.9380577199999998</v>
      </c>
      <c r="CF18">
        <v>5.9511870699999996</v>
      </c>
      <c r="CG18">
        <v>5.7543223599999997</v>
      </c>
      <c r="CH18">
        <v>5.7695941099999999</v>
      </c>
      <c r="CI18">
        <v>5.5872270500000001</v>
      </c>
      <c r="CJ18">
        <v>5.2999335900000002</v>
      </c>
      <c r="CK18">
        <v>5.78773537</v>
      </c>
      <c r="CL18">
        <v>5.6912727500000004</v>
      </c>
      <c r="CM18">
        <v>5.4322467000000003</v>
      </c>
      <c r="CN18">
        <v>5.9204050600000002</v>
      </c>
      <c r="CO18">
        <v>5.6911514700000003</v>
      </c>
      <c r="CP18">
        <v>5.9375696199999997</v>
      </c>
      <c r="CQ18">
        <v>5.4656739999999999</v>
      </c>
      <c r="CR18">
        <v>5.6255028999999999</v>
      </c>
      <c r="CS18">
        <v>5.7800571700000001</v>
      </c>
      <c r="CT18">
        <v>5.8030363400000002</v>
      </c>
      <c r="CU18">
        <v>5.7966920999999996</v>
      </c>
      <c r="CV18">
        <v>5.8267976499999996</v>
      </c>
      <c r="CW18">
        <v>5.6708028600000002</v>
      </c>
      <c r="CX18">
        <v>5.8646029400000002</v>
      </c>
      <c r="CY18">
        <v>5.8284822500000004</v>
      </c>
      <c r="CZ18">
        <v>5.7136940799999998</v>
      </c>
      <c r="DA18">
        <v>5.9386034399999996</v>
      </c>
      <c r="DB18">
        <v>5.8789713900000002</v>
      </c>
      <c r="DC18">
        <v>5.4271949800000003</v>
      </c>
      <c r="DD18">
        <v>5.7053347600000004</v>
      </c>
      <c r="DE18">
        <v>5.4526363900000003</v>
      </c>
      <c r="DF18">
        <v>5.6952374499999996</v>
      </c>
      <c r="DG18">
        <v>5.6912623900000003</v>
      </c>
      <c r="DH18">
        <v>5.6912623900000003</v>
      </c>
      <c r="DI18">
        <v>5.6912623900000003</v>
      </c>
      <c r="DJ18">
        <v>5.6912623900000003</v>
      </c>
      <c r="DK18">
        <v>5.5691064299999997</v>
      </c>
      <c r="DL18">
        <v>5.43900132</v>
      </c>
      <c r="DM18">
        <v>5.6216146</v>
      </c>
      <c r="DN18">
        <v>5.8872166799999999</v>
      </c>
      <c r="DO18">
        <v>5.7884879800000002</v>
      </c>
      <c r="DP18">
        <v>6.1728615900000001</v>
      </c>
      <c r="DQ18">
        <v>5.54916974</v>
      </c>
      <c r="DR18">
        <v>5.9158431599999997</v>
      </c>
      <c r="DS18">
        <v>6.0919453099999998</v>
      </c>
      <c r="DT18">
        <v>5.8828274</v>
      </c>
      <c r="DU18">
        <v>5.4126101000000002</v>
      </c>
      <c r="DV18">
        <v>6.0365247200000001</v>
      </c>
      <c r="DW18">
        <v>5.9009193299999998</v>
      </c>
      <c r="DX18">
        <v>5.48817998</v>
      </c>
      <c r="DY18">
        <v>5.9922434999999998</v>
      </c>
      <c r="DZ18">
        <v>5.9363806200000004</v>
      </c>
      <c r="EA18">
        <v>6.08386403</v>
      </c>
      <c r="EB18">
        <v>5.7115446199999997</v>
      </c>
      <c r="EC18">
        <v>5.69572053</v>
      </c>
      <c r="ED18">
        <v>6.0222621600000004</v>
      </c>
      <c r="EE18">
        <v>5.2559244899999999</v>
      </c>
      <c r="EF18">
        <v>6.1883830599999996</v>
      </c>
      <c r="EG18">
        <v>5.47719106</v>
      </c>
      <c r="EH18">
        <v>6.1617172099999999</v>
      </c>
      <c r="EI18">
        <v>5.0898477599999996</v>
      </c>
      <c r="EJ18">
        <v>5.0379497899999999</v>
      </c>
      <c r="EK18">
        <v>5.8112034899999996</v>
      </c>
      <c r="EL18">
        <v>5.5837297399999999</v>
      </c>
      <c r="EM18">
        <v>6.0660618900000003</v>
      </c>
      <c r="EN18">
        <v>5.8662137300000001</v>
      </c>
      <c r="EO18">
        <v>5.6680572500000004</v>
      </c>
      <c r="EP18">
        <v>5.4414469399999996</v>
      </c>
      <c r="EQ18">
        <v>5.3450675900000002</v>
      </c>
      <c r="ER18">
        <v>5.9309091</v>
      </c>
      <c r="ES18">
        <v>5.8634727800000004</v>
      </c>
      <c r="ET18">
        <v>5.90247381</v>
      </c>
      <c r="EU18">
        <v>5.4672503399999997</v>
      </c>
      <c r="EV18">
        <v>5.9281272300000003</v>
      </c>
      <c r="EW18">
        <v>5.9548108800000001</v>
      </c>
      <c r="EX18">
        <v>5.6716915800000001</v>
      </c>
      <c r="EY18">
        <v>5.7936402200000003</v>
      </c>
      <c r="EZ18">
        <v>5.7239787099999999</v>
      </c>
      <c r="FA18">
        <v>5.3811034900000001</v>
      </c>
      <c r="FB18">
        <v>6.10640377</v>
      </c>
      <c r="FC18">
        <v>5.6719030799999999</v>
      </c>
      <c r="FD18">
        <v>5.6338937299999996</v>
      </c>
      <c r="FE18">
        <v>5.9672866500000001</v>
      </c>
      <c r="FF18">
        <v>5.8033845900000003</v>
      </c>
      <c r="FG18">
        <v>5.8199821900000002</v>
      </c>
      <c r="FH18">
        <v>5.4471337200000001</v>
      </c>
      <c r="FI18">
        <v>5.9784553100000002</v>
      </c>
      <c r="FJ18">
        <v>6.2231536800000002</v>
      </c>
      <c r="FK18">
        <v>5.55843445</v>
      </c>
      <c r="FL18">
        <v>5.20822567</v>
      </c>
      <c r="FM18">
        <v>5.55611941</v>
      </c>
      <c r="FN18">
        <v>5.5157554700000002</v>
      </c>
      <c r="FO18">
        <v>5.7651658100000001</v>
      </c>
      <c r="FP18">
        <v>5.7690097900000001</v>
      </c>
      <c r="FQ18">
        <v>5.5846536000000002</v>
      </c>
      <c r="FR18">
        <v>5.78490064</v>
      </c>
      <c r="FS18">
        <v>6.0205753</v>
      </c>
      <c r="FT18">
        <v>5.6610695199999999</v>
      </c>
      <c r="FU18">
        <v>5.9398578999999998</v>
      </c>
      <c r="FV18">
        <v>5.0811681000000002</v>
      </c>
      <c r="FW18">
        <v>5.74724827</v>
      </c>
      <c r="FX18">
        <v>6.1844391099999996</v>
      </c>
      <c r="FY18">
        <v>6.02423967</v>
      </c>
      <c r="FZ18">
        <v>5.16860081</v>
      </c>
      <c r="GA18">
        <v>5.21869812</v>
      </c>
      <c r="GB18">
        <v>5.4856825499999999</v>
      </c>
      <c r="GC18">
        <v>6.07015248</v>
      </c>
      <c r="GD18">
        <v>5.8163243500000004</v>
      </c>
      <c r="GE18">
        <v>5.73952784</v>
      </c>
      <c r="GF18">
        <v>5.48348309</v>
      </c>
      <c r="GG18">
        <v>6.0079924199999999</v>
      </c>
      <c r="GH18">
        <v>5.5792519299999999</v>
      </c>
      <c r="GI18">
        <v>5.4373920699999996</v>
      </c>
      <c r="GJ18">
        <v>5.8493934599999999</v>
      </c>
      <c r="GK18">
        <v>5.4685348200000004</v>
      </c>
      <c r="GL18">
        <v>5.1776193900000003</v>
      </c>
      <c r="GM18">
        <v>5.8320549000000002</v>
      </c>
      <c r="GN18">
        <v>6.4182419900000003</v>
      </c>
      <c r="GO18">
        <v>5.3682345199999997</v>
      </c>
      <c r="GP18">
        <v>5.3887432999999998</v>
      </c>
      <c r="GQ18">
        <v>6.0183642600000002</v>
      </c>
      <c r="GR18">
        <v>6.38728038</v>
      </c>
      <c r="GS18">
        <v>5.5092068799999998</v>
      </c>
      <c r="GT18">
        <v>4.7348793200000001</v>
      </c>
      <c r="GU18">
        <v>5.1099743200000001</v>
      </c>
      <c r="GV18">
        <v>5.35034806</v>
      </c>
      <c r="GW18">
        <v>5.4276156200000001</v>
      </c>
      <c r="GX18">
        <v>5.26605686</v>
      </c>
      <c r="GY18">
        <v>5.6641453000000004</v>
      </c>
      <c r="GZ18">
        <v>5.6729347199999998</v>
      </c>
      <c r="HA18">
        <v>5.2172644500000001</v>
      </c>
      <c r="HB18">
        <v>5.6020168899999998</v>
      </c>
      <c r="HC18">
        <v>5.6321731100000001</v>
      </c>
      <c r="HD18">
        <v>5.6885498300000004</v>
      </c>
      <c r="HE18">
        <v>6.0545012500000004</v>
      </c>
      <c r="HF18">
        <v>5.7141417399999996</v>
      </c>
      <c r="HG18">
        <v>5.8090029799999998</v>
      </c>
      <c r="HH18">
        <v>5.64387186</v>
      </c>
      <c r="HI18">
        <v>5.7464874699999999</v>
      </c>
      <c r="HJ18">
        <v>5.7171543900000001</v>
      </c>
      <c r="HK18">
        <v>5.6610628700000003</v>
      </c>
      <c r="HL18">
        <v>5.6500783200000004</v>
      </c>
      <c r="HM18">
        <v>5.5928242299999997</v>
      </c>
      <c r="HN18">
        <v>5.79047175</v>
      </c>
      <c r="HO18">
        <v>5.6391155700000004</v>
      </c>
      <c r="HP18">
        <v>5.3253107499999999</v>
      </c>
      <c r="HQ18">
        <v>5.7805340100000002</v>
      </c>
      <c r="HR18">
        <v>5.6098156599999998</v>
      </c>
      <c r="HS18">
        <v>5.5175365100000002</v>
      </c>
      <c r="HT18">
        <v>5.5665062199999999</v>
      </c>
      <c r="HU18">
        <v>5.94597336</v>
      </c>
      <c r="HV18">
        <v>5.8106378699999999</v>
      </c>
      <c r="HW18">
        <v>5.8435008399999999</v>
      </c>
      <c r="HX18">
        <v>5.6998503700000001</v>
      </c>
      <c r="HY18">
        <v>5.6937647800000004</v>
      </c>
      <c r="HZ18">
        <v>5.7303540000000002</v>
      </c>
      <c r="IA18">
        <v>5.6561488400000002</v>
      </c>
      <c r="IB18">
        <v>5.7353365299999997</v>
      </c>
      <c r="IC18">
        <v>5.9800659999999999</v>
      </c>
      <c r="ID18">
        <v>5.2267663899999999</v>
      </c>
      <c r="IE18">
        <v>5.7123795900000003</v>
      </c>
      <c r="IF18">
        <v>5.3082221599999997</v>
      </c>
      <c r="IG18">
        <v>5.6822833800000003</v>
      </c>
      <c r="IH18">
        <v>5.9924189800000001</v>
      </c>
      <c r="II18">
        <v>5.5377630599999996</v>
      </c>
      <c r="IJ18">
        <v>5.9532332200000004</v>
      </c>
      <c r="IK18">
        <v>5.9045913900000002</v>
      </c>
      <c r="IL18">
        <v>5.1301215400000002</v>
      </c>
      <c r="IM18">
        <v>5.5952464400000004</v>
      </c>
      <c r="IN18">
        <v>5.9231965100000004</v>
      </c>
      <c r="IO18">
        <v>5.8459547599999997</v>
      </c>
      <c r="IP18">
        <v>5.5136643999999997</v>
      </c>
      <c r="IQ18">
        <v>6.1866061999999999</v>
      </c>
      <c r="IR18">
        <v>5.5036347900000004</v>
      </c>
      <c r="IS18">
        <v>5.3169918699999998</v>
      </c>
      <c r="IT18">
        <v>5.9716294000000003</v>
      </c>
      <c r="IU18">
        <v>5.81755215</v>
      </c>
      <c r="IV18">
        <v>5.9042057100000003</v>
      </c>
      <c r="IW18">
        <v>5.9930091599999997</v>
      </c>
      <c r="IX18">
        <v>4.9798590100000002</v>
      </c>
      <c r="IY18">
        <v>5.54872166</v>
      </c>
      <c r="IZ18">
        <v>5.9810635200000002</v>
      </c>
      <c r="JA18">
        <v>5.6688212</v>
      </c>
      <c r="JB18">
        <v>5.03617677</v>
      </c>
      <c r="JC18">
        <v>5.7655204299999996</v>
      </c>
      <c r="JD18">
        <v>5.31063698</v>
      </c>
      <c r="JK18" s="21"/>
      <c r="JL18" s="21"/>
      <c r="JM18" s="20"/>
      <c r="JN18" s="35"/>
      <c r="JO18" s="35"/>
      <c r="JP18" s="35"/>
      <c r="JQ18" s="41"/>
      <c r="JR18" s="35"/>
      <c r="JS18" s="35"/>
      <c r="JT18" s="35"/>
      <c r="JU18" s="35"/>
      <c r="JV18" s="35"/>
      <c r="JW18" s="35"/>
    </row>
    <row r="19" spans="1:283" ht="13.8" x14ac:dyDescent="0.3">
      <c r="A19" s="19" t="s">
        <v>11</v>
      </c>
      <c r="B19" s="18" t="s">
        <v>48</v>
      </c>
      <c r="C19" s="14">
        <v>308</v>
      </c>
      <c r="D19" s="13">
        <v>5.6735504099999998</v>
      </c>
      <c r="E19" s="12">
        <v>5.5535184199999996</v>
      </c>
      <c r="F19">
        <v>5.6631548299999999</v>
      </c>
      <c r="G19">
        <v>5.9187231899999997</v>
      </c>
      <c r="H19">
        <v>5.7200151799999999</v>
      </c>
      <c r="I19">
        <v>5.4862243399999997</v>
      </c>
      <c r="J19">
        <v>5.5955136799999998</v>
      </c>
      <c r="K19">
        <v>5.5936352400000002</v>
      </c>
      <c r="L19">
        <v>5.7785867800000004</v>
      </c>
      <c r="M19">
        <v>5.3927297799999998</v>
      </c>
      <c r="N19">
        <v>5.56189453</v>
      </c>
      <c r="O19">
        <v>5.6708257199999998</v>
      </c>
      <c r="P19">
        <v>5.7419480399999996</v>
      </c>
      <c r="Q19">
        <v>5.6015102600000004</v>
      </c>
      <c r="R19">
        <v>5.7203792599999996</v>
      </c>
      <c r="S19">
        <v>5.7859775899999999</v>
      </c>
      <c r="T19">
        <v>5.8805504500000003</v>
      </c>
      <c r="U19">
        <v>5.4821297500000004</v>
      </c>
      <c r="V19">
        <v>5.8138444500000004</v>
      </c>
      <c r="W19">
        <v>5.5358165399999999</v>
      </c>
      <c r="X19">
        <v>5.7595210799999998</v>
      </c>
      <c r="Y19">
        <v>5.5091328199999996</v>
      </c>
      <c r="Z19">
        <v>5.1920021099999998</v>
      </c>
      <c r="AA19">
        <v>5.6260272100000002</v>
      </c>
      <c r="AB19">
        <v>5.5800409999999996</v>
      </c>
      <c r="AC19">
        <v>5.8259325200000003</v>
      </c>
      <c r="AD19">
        <v>5.6490612000000002</v>
      </c>
      <c r="AE19">
        <v>5.3589268399999996</v>
      </c>
      <c r="AF19">
        <v>5.5842819400000003</v>
      </c>
      <c r="AG19">
        <v>5.7315598000000003</v>
      </c>
      <c r="AH19">
        <v>5.6768638899999999</v>
      </c>
      <c r="AI19">
        <v>5.61187988</v>
      </c>
      <c r="AJ19">
        <v>5.7288995299999996</v>
      </c>
      <c r="AK19">
        <v>5.727652</v>
      </c>
      <c r="AL19">
        <v>5.7960706599999998</v>
      </c>
      <c r="AM19">
        <v>5.7651304999999997</v>
      </c>
      <c r="AN19">
        <v>5.7629170299999997</v>
      </c>
      <c r="AO19">
        <v>5.7782236200000003</v>
      </c>
      <c r="AP19">
        <v>5.5027979699999996</v>
      </c>
      <c r="AQ19">
        <v>5.5277833300000001</v>
      </c>
      <c r="AR19">
        <v>5.6446043799999996</v>
      </c>
      <c r="AS19">
        <v>5.4350098300000003</v>
      </c>
      <c r="AT19">
        <v>5.7007704700000001</v>
      </c>
      <c r="AU19">
        <v>5.6774084599999997</v>
      </c>
      <c r="AV19">
        <v>5.9670140299999996</v>
      </c>
      <c r="AW19">
        <v>5.6803222399999997</v>
      </c>
      <c r="AX19">
        <v>5.8017307599999999</v>
      </c>
      <c r="AY19">
        <v>5.78069027</v>
      </c>
      <c r="AZ19">
        <v>5.2986338699999997</v>
      </c>
      <c r="BA19">
        <v>5.5190283600000001</v>
      </c>
      <c r="BB19">
        <v>5.6058690999999996</v>
      </c>
      <c r="BC19">
        <v>5.7461052300000004</v>
      </c>
      <c r="BD19">
        <v>5.2648271600000003</v>
      </c>
      <c r="BE19">
        <v>5.7232320100000003</v>
      </c>
      <c r="BF19">
        <v>5.78863796</v>
      </c>
      <c r="BG19">
        <v>5.8781763900000001</v>
      </c>
      <c r="BH19">
        <v>5.7655318700000002</v>
      </c>
      <c r="BI19">
        <v>5.6308032199999998</v>
      </c>
      <c r="BJ19">
        <v>5.5907120199999998</v>
      </c>
      <c r="BK19">
        <v>5.7853356099999997</v>
      </c>
      <c r="BL19">
        <v>5.6953556000000001</v>
      </c>
      <c r="BM19">
        <v>5.9445552099999999</v>
      </c>
      <c r="BN19">
        <v>5.7867464000000002</v>
      </c>
      <c r="BO19">
        <v>5.5758432100000004</v>
      </c>
      <c r="BP19">
        <v>5.5582058400000003</v>
      </c>
      <c r="BQ19">
        <v>5.4978712400000003</v>
      </c>
      <c r="BR19">
        <v>5.5656880500000003</v>
      </c>
      <c r="BS19">
        <v>5.6060264499999999</v>
      </c>
      <c r="BT19">
        <v>5.5757364599999999</v>
      </c>
      <c r="BU19">
        <v>5.8506724300000004</v>
      </c>
      <c r="BV19">
        <v>5.7969951699999998</v>
      </c>
      <c r="BW19">
        <v>5.4914071399999997</v>
      </c>
      <c r="BX19">
        <v>5.76757469</v>
      </c>
      <c r="BY19">
        <v>5.7916382999999998</v>
      </c>
      <c r="BZ19">
        <v>5.8723353700000001</v>
      </c>
      <c r="CA19">
        <v>5.7083841099999999</v>
      </c>
      <c r="CB19">
        <v>5.5869442500000002</v>
      </c>
      <c r="CC19">
        <v>5.6571402900000001</v>
      </c>
      <c r="CD19">
        <v>5.4333172999999997</v>
      </c>
      <c r="CE19">
        <v>5.9302972399999998</v>
      </c>
      <c r="CF19">
        <v>5.9246111299999997</v>
      </c>
      <c r="CG19">
        <v>5.7337610000000003</v>
      </c>
      <c r="CH19">
        <v>5.7484351399999998</v>
      </c>
      <c r="CI19">
        <v>5.5810235500000003</v>
      </c>
      <c r="CJ19">
        <v>5.3098329299999998</v>
      </c>
      <c r="CK19">
        <v>5.7630897000000001</v>
      </c>
      <c r="CL19">
        <v>5.6802337500000002</v>
      </c>
      <c r="CM19">
        <v>5.4303153799999997</v>
      </c>
      <c r="CN19">
        <v>5.9110210299999997</v>
      </c>
      <c r="CO19">
        <v>5.6770990399999999</v>
      </c>
      <c r="CP19">
        <v>5.9017290600000001</v>
      </c>
      <c r="CQ19">
        <v>5.4647275799999999</v>
      </c>
      <c r="CR19">
        <v>5.6130886499999999</v>
      </c>
      <c r="CS19">
        <v>5.7585224300000002</v>
      </c>
      <c r="CT19">
        <v>5.7714996300000001</v>
      </c>
      <c r="CU19">
        <v>5.7749424200000004</v>
      </c>
      <c r="CV19">
        <v>5.80481377</v>
      </c>
      <c r="CW19">
        <v>5.6555552599999999</v>
      </c>
      <c r="CX19">
        <v>5.8380869300000002</v>
      </c>
      <c r="CY19">
        <v>5.8023193900000001</v>
      </c>
      <c r="CZ19">
        <v>5.6934877400000001</v>
      </c>
      <c r="DA19">
        <v>5.90401825</v>
      </c>
      <c r="DB19">
        <v>5.85935234</v>
      </c>
      <c r="DC19">
        <v>5.4257926200000002</v>
      </c>
      <c r="DD19">
        <v>5.6848688899999997</v>
      </c>
      <c r="DE19">
        <v>5.4467896600000003</v>
      </c>
      <c r="DF19">
        <v>5.7107101399999998</v>
      </c>
      <c r="DG19">
        <v>5.6735504099999998</v>
      </c>
      <c r="DH19">
        <v>5.6735504099999998</v>
      </c>
      <c r="DI19">
        <v>5.6735504099999998</v>
      </c>
      <c r="DJ19">
        <v>5.6735504099999998</v>
      </c>
      <c r="DK19">
        <v>5.5587635100000004</v>
      </c>
      <c r="DL19">
        <v>5.4344613400000004</v>
      </c>
      <c r="DM19">
        <v>5.5979066900000003</v>
      </c>
      <c r="DN19">
        <v>5.8731004899999997</v>
      </c>
      <c r="DO19">
        <v>5.7610586899999996</v>
      </c>
      <c r="DP19">
        <v>6.1354098800000001</v>
      </c>
      <c r="DQ19">
        <v>5.5272072400000001</v>
      </c>
      <c r="DR19">
        <v>5.9073486700000002</v>
      </c>
      <c r="DS19">
        <v>6.0534003900000002</v>
      </c>
      <c r="DT19">
        <v>5.8437119400000004</v>
      </c>
      <c r="DU19">
        <v>5.4146148099999998</v>
      </c>
      <c r="DV19">
        <v>5.9917403900000004</v>
      </c>
      <c r="DW19">
        <v>5.8665158699999997</v>
      </c>
      <c r="DX19">
        <v>5.4739852600000001</v>
      </c>
      <c r="DY19">
        <v>5.9485668</v>
      </c>
      <c r="DZ19">
        <v>5.9272319800000002</v>
      </c>
      <c r="EA19">
        <v>6.0506230399999996</v>
      </c>
      <c r="EB19">
        <v>5.6846157899999996</v>
      </c>
      <c r="EC19">
        <v>5.68357242</v>
      </c>
      <c r="ED19">
        <v>5.9849394299999998</v>
      </c>
      <c r="EE19">
        <v>5.2695871700000003</v>
      </c>
      <c r="EF19">
        <v>6.1303095900000004</v>
      </c>
      <c r="EG19">
        <v>5.4727531599999999</v>
      </c>
      <c r="EH19">
        <v>6.1042602600000002</v>
      </c>
      <c r="EI19">
        <v>5.1035133899999998</v>
      </c>
      <c r="EJ19">
        <v>5.0647617</v>
      </c>
      <c r="EK19">
        <v>5.7986489900000002</v>
      </c>
      <c r="EL19">
        <v>5.5744256300000004</v>
      </c>
      <c r="EM19">
        <v>6.0372986199999996</v>
      </c>
      <c r="EN19">
        <v>5.8500840900000002</v>
      </c>
      <c r="EO19">
        <v>5.6363148399999998</v>
      </c>
      <c r="EP19">
        <v>5.42419414</v>
      </c>
      <c r="EQ19">
        <v>5.3464791800000002</v>
      </c>
      <c r="ER19">
        <v>5.9067470100000001</v>
      </c>
      <c r="ES19">
        <v>5.85979531</v>
      </c>
      <c r="ET19">
        <v>5.8777054800000004</v>
      </c>
      <c r="EU19">
        <v>5.4623366999999998</v>
      </c>
      <c r="EV19">
        <v>5.8944370499999996</v>
      </c>
      <c r="EW19">
        <v>5.9373647099999998</v>
      </c>
      <c r="EX19">
        <v>5.6517410999999997</v>
      </c>
      <c r="EY19">
        <v>5.7873737299999997</v>
      </c>
      <c r="EZ19">
        <v>5.6928387499999999</v>
      </c>
      <c r="FA19">
        <v>5.3772799899999999</v>
      </c>
      <c r="FB19">
        <v>6.0784132599999996</v>
      </c>
      <c r="FC19">
        <v>5.6537709500000002</v>
      </c>
      <c r="FD19">
        <v>5.6258185999999997</v>
      </c>
      <c r="FE19">
        <v>5.9380519899999999</v>
      </c>
      <c r="FF19">
        <v>5.7837546599999996</v>
      </c>
      <c r="FG19">
        <v>5.8020649300000002</v>
      </c>
      <c r="FH19">
        <v>5.4453255299999999</v>
      </c>
      <c r="FI19">
        <v>5.94711006</v>
      </c>
      <c r="FJ19">
        <v>6.1712093899999996</v>
      </c>
      <c r="FK19">
        <v>5.5395189299999998</v>
      </c>
      <c r="FL19">
        <v>5.2184259400000004</v>
      </c>
      <c r="FM19">
        <v>5.5482529400000002</v>
      </c>
      <c r="FN19">
        <v>5.5010534800000004</v>
      </c>
      <c r="FO19">
        <v>5.7543361300000004</v>
      </c>
      <c r="FP19">
        <v>5.7504664300000004</v>
      </c>
      <c r="FQ19">
        <v>5.5682351900000002</v>
      </c>
      <c r="FR19">
        <v>5.7700321800000003</v>
      </c>
      <c r="FS19">
        <v>5.9628833099999996</v>
      </c>
      <c r="FT19">
        <v>5.6500630899999997</v>
      </c>
      <c r="FU19">
        <v>5.8954364699999999</v>
      </c>
      <c r="FV19">
        <v>5.0986321400000003</v>
      </c>
      <c r="FW19">
        <v>5.7356828799999997</v>
      </c>
      <c r="FX19">
        <v>6.1319950900000002</v>
      </c>
      <c r="FY19">
        <v>5.9809347700000002</v>
      </c>
      <c r="FZ19">
        <v>5.1664257999999998</v>
      </c>
      <c r="GA19">
        <v>5.1950159899999999</v>
      </c>
      <c r="GB19">
        <v>5.47583413</v>
      </c>
      <c r="GC19">
        <v>6.0230757199999996</v>
      </c>
      <c r="GD19">
        <v>5.7831903599999999</v>
      </c>
      <c r="GE19">
        <v>5.7166734999999997</v>
      </c>
      <c r="GF19">
        <v>5.4770165100000003</v>
      </c>
      <c r="GG19">
        <v>5.9640296499999996</v>
      </c>
      <c r="GH19">
        <v>5.5798944199999996</v>
      </c>
      <c r="GI19">
        <v>5.4334321000000001</v>
      </c>
      <c r="GJ19">
        <v>5.8116570799999998</v>
      </c>
      <c r="GK19">
        <v>5.4569804199999998</v>
      </c>
      <c r="GL19">
        <v>5.1888266999999999</v>
      </c>
      <c r="GM19">
        <v>5.80987221</v>
      </c>
      <c r="GN19">
        <v>6.3493482099999996</v>
      </c>
      <c r="GO19">
        <v>5.3619442399999997</v>
      </c>
      <c r="GP19">
        <v>5.3917433600000004</v>
      </c>
      <c r="GQ19">
        <v>5.9996692400000002</v>
      </c>
      <c r="GR19">
        <v>6.3293936400000002</v>
      </c>
      <c r="GS19">
        <v>5.48507356</v>
      </c>
      <c r="GT19">
        <v>4.7894298800000001</v>
      </c>
      <c r="GU19">
        <v>5.1287589699999998</v>
      </c>
      <c r="GV19">
        <v>5.34147967</v>
      </c>
      <c r="GW19">
        <v>5.3984570300000003</v>
      </c>
      <c r="GX19">
        <v>5.2797016799999996</v>
      </c>
      <c r="GY19">
        <v>5.6477993</v>
      </c>
      <c r="GZ19">
        <v>5.6430512400000001</v>
      </c>
      <c r="HA19">
        <v>5.2235345000000004</v>
      </c>
      <c r="HB19">
        <v>5.58637082</v>
      </c>
      <c r="HC19">
        <v>5.6187203200000004</v>
      </c>
      <c r="HD19">
        <v>5.6765289699999997</v>
      </c>
      <c r="HE19">
        <v>6.01287225</v>
      </c>
      <c r="HF19">
        <v>5.6908281000000001</v>
      </c>
      <c r="HG19">
        <v>5.7873108899999997</v>
      </c>
      <c r="HH19">
        <v>5.6278795800000001</v>
      </c>
      <c r="HI19">
        <v>5.7299964900000004</v>
      </c>
      <c r="HJ19">
        <v>5.6925463000000001</v>
      </c>
      <c r="HK19">
        <v>5.6425359500000001</v>
      </c>
      <c r="HL19">
        <v>5.63442212</v>
      </c>
      <c r="HM19">
        <v>5.5815371699999998</v>
      </c>
      <c r="HN19">
        <v>5.77271424</v>
      </c>
      <c r="HO19">
        <v>5.6079622799999997</v>
      </c>
      <c r="HP19">
        <v>5.3305084699999998</v>
      </c>
      <c r="HQ19">
        <v>5.75588414</v>
      </c>
      <c r="HR19">
        <v>5.5985567300000003</v>
      </c>
      <c r="HS19">
        <v>5.5008438200000001</v>
      </c>
      <c r="HT19">
        <v>5.5542602700000003</v>
      </c>
      <c r="HU19">
        <v>5.92497907</v>
      </c>
      <c r="HV19">
        <v>5.7838615300000003</v>
      </c>
      <c r="HW19">
        <v>5.8041671499999996</v>
      </c>
      <c r="HX19">
        <v>5.6834290200000002</v>
      </c>
      <c r="HY19">
        <v>5.6716925600000003</v>
      </c>
      <c r="HZ19">
        <v>5.7093432699999997</v>
      </c>
      <c r="IA19">
        <v>5.64130266</v>
      </c>
      <c r="IB19">
        <v>5.7225407400000003</v>
      </c>
      <c r="IC19">
        <v>5.9401959599999996</v>
      </c>
      <c r="ID19">
        <v>5.2254421400000002</v>
      </c>
      <c r="IE19">
        <v>5.6882027700000002</v>
      </c>
      <c r="IF19">
        <v>5.2942856799999998</v>
      </c>
      <c r="IG19">
        <v>5.6684471199999997</v>
      </c>
      <c r="IH19">
        <v>5.9502257900000002</v>
      </c>
      <c r="II19">
        <v>5.5320840699999998</v>
      </c>
      <c r="IJ19">
        <v>5.91594043</v>
      </c>
      <c r="IK19">
        <v>5.8663223200000001</v>
      </c>
      <c r="IL19">
        <v>5.1191258399999997</v>
      </c>
      <c r="IM19">
        <v>5.57956158</v>
      </c>
      <c r="IN19">
        <v>5.8977337900000002</v>
      </c>
      <c r="IO19">
        <v>5.8188825599999996</v>
      </c>
      <c r="IP19">
        <v>5.5029894500000003</v>
      </c>
      <c r="IQ19">
        <v>6.14733719</v>
      </c>
      <c r="IR19">
        <v>5.4899183000000003</v>
      </c>
      <c r="IS19">
        <v>5.3211054000000004</v>
      </c>
      <c r="IT19">
        <v>5.9402325300000003</v>
      </c>
      <c r="IU19">
        <v>5.7972729599999999</v>
      </c>
      <c r="IV19">
        <v>5.8740177400000002</v>
      </c>
      <c r="IW19">
        <v>5.9469640699999999</v>
      </c>
      <c r="IX19">
        <v>4.9587605200000002</v>
      </c>
      <c r="IY19">
        <v>5.53941178</v>
      </c>
      <c r="IZ19">
        <v>5.9482932499999999</v>
      </c>
      <c r="JA19">
        <v>5.6521238199999999</v>
      </c>
      <c r="JB19">
        <v>5.0515595700000002</v>
      </c>
      <c r="JC19">
        <v>5.7414315900000004</v>
      </c>
      <c r="JD19">
        <v>5.2932368500000004</v>
      </c>
      <c r="JK19" s="21"/>
      <c r="JL19" s="21"/>
      <c r="JM19" s="20"/>
      <c r="JN19" s="35"/>
      <c r="JO19" s="35"/>
      <c r="JP19" s="35"/>
      <c r="JQ19" s="41"/>
      <c r="JR19" s="35"/>
      <c r="JS19" s="35"/>
      <c r="JT19" s="35"/>
      <c r="JU19" s="35"/>
      <c r="JV19" s="35"/>
      <c r="JW19" s="35"/>
    </row>
    <row r="20" spans="1:283" ht="13.8" x14ac:dyDescent="0.3">
      <c r="A20" s="19" t="s">
        <v>11</v>
      </c>
      <c r="B20" s="18" t="s">
        <v>48</v>
      </c>
      <c r="C20" s="14">
        <v>339</v>
      </c>
      <c r="D20" s="13">
        <v>5.6563528999999999</v>
      </c>
      <c r="E20" s="12">
        <v>5.53882064</v>
      </c>
      <c r="F20">
        <v>5.6531013400000001</v>
      </c>
      <c r="G20">
        <v>5.8948995000000002</v>
      </c>
      <c r="H20">
        <v>5.7094602099999996</v>
      </c>
      <c r="I20">
        <v>5.4695008100000004</v>
      </c>
      <c r="J20">
        <v>5.5867331499999997</v>
      </c>
      <c r="K20">
        <v>5.5782568599999998</v>
      </c>
      <c r="L20">
        <v>5.7605122599999996</v>
      </c>
      <c r="M20">
        <v>5.3768887799999998</v>
      </c>
      <c r="N20">
        <v>5.5600029700000002</v>
      </c>
      <c r="O20">
        <v>5.6476139700000001</v>
      </c>
      <c r="P20">
        <v>5.7288781799999997</v>
      </c>
      <c r="Q20">
        <v>5.5864897400000002</v>
      </c>
      <c r="R20">
        <v>5.7030330300000003</v>
      </c>
      <c r="S20">
        <v>5.7659470300000004</v>
      </c>
      <c r="T20">
        <v>5.8579643099999998</v>
      </c>
      <c r="U20">
        <v>5.4719390600000004</v>
      </c>
      <c r="V20">
        <v>5.7974017800000004</v>
      </c>
      <c r="W20">
        <v>5.5312789799999997</v>
      </c>
      <c r="X20">
        <v>5.7417117299999996</v>
      </c>
      <c r="Y20">
        <v>5.4976493299999998</v>
      </c>
      <c r="Z20">
        <v>5.1907718599999999</v>
      </c>
      <c r="AA20">
        <v>5.6052039200000001</v>
      </c>
      <c r="AB20">
        <v>5.5702561099999999</v>
      </c>
      <c r="AC20">
        <v>5.8037968600000003</v>
      </c>
      <c r="AD20">
        <v>5.61921465</v>
      </c>
      <c r="AE20">
        <v>5.3548506099999997</v>
      </c>
      <c r="AF20">
        <v>5.5793316199999996</v>
      </c>
      <c r="AG20">
        <v>5.7107395900000002</v>
      </c>
      <c r="AH20">
        <v>5.6636582300000002</v>
      </c>
      <c r="AI20">
        <v>5.6132865499999998</v>
      </c>
      <c r="AJ20">
        <v>5.7144727900000003</v>
      </c>
      <c r="AK20">
        <v>5.7040630400000003</v>
      </c>
      <c r="AL20">
        <v>5.7687736300000001</v>
      </c>
      <c r="AM20">
        <v>5.7456465899999998</v>
      </c>
      <c r="AN20">
        <v>5.7394329900000001</v>
      </c>
      <c r="AO20">
        <v>5.7540212899999998</v>
      </c>
      <c r="AP20">
        <v>5.4936260099999998</v>
      </c>
      <c r="AQ20">
        <v>5.5167455700000003</v>
      </c>
      <c r="AR20">
        <v>5.6268358799999998</v>
      </c>
      <c r="AS20">
        <v>5.43520877</v>
      </c>
      <c r="AT20">
        <v>5.68486723</v>
      </c>
      <c r="AU20">
        <v>5.6633066899999998</v>
      </c>
      <c r="AV20">
        <v>5.9265734200000004</v>
      </c>
      <c r="AW20">
        <v>5.6610924200000001</v>
      </c>
      <c r="AX20">
        <v>5.7760213699999996</v>
      </c>
      <c r="AY20">
        <v>5.7617120000000002</v>
      </c>
      <c r="AZ20">
        <v>5.30277362</v>
      </c>
      <c r="BA20">
        <v>5.5168387799999996</v>
      </c>
      <c r="BB20">
        <v>5.5926139299999997</v>
      </c>
      <c r="BC20">
        <v>5.71443425</v>
      </c>
      <c r="BD20">
        <v>5.2792824200000004</v>
      </c>
      <c r="BE20">
        <v>5.7040565599999997</v>
      </c>
      <c r="BF20">
        <v>5.7656753700000003</v>
      </c>
      <c r="BG20">
        <v>5.8462104799999999</v>
      </c>
      <c r="BH20">
        <v>5.7488349100000002</v>
      </c>
      <c r="BI20">
        <v>5.6130131299999997</v>
      </c>
      <c r="BJ20">
        <v>5.5798966999999999</v>
      </c>
      <c r="BK20">
        <v>5.7594926199999996</v>
      </c>
      <c r="BL20">
        <v>5.6785680300000001</v>
      </c>
      <c r="BM20">
        <v>5.9145636699999997</v>
      </c>
      <c r="BN20">
        <v>5.7637985499999997</v>
      </c>
      <c r="BO20">
        <v>5.5570068499999996</v>
      </c>
      <c r="BP20">
        <v>5.5456270200000004</v>
      </c>
      <c r="BQ20">
        <v>5.4884624100000003</v>
      </c>
      <c r="BR20">
        <v>5.5562850199999998</v>
      </c>
      <c r="BS20">
        <v>5.5928580999999999</v>
      </c>
      <c r="BT20">
        <v>5.5786547999999998</v>
      </c>
      <c r="BU20">
        <v>5.8012175600000004</v>
      </c>
      <c r="BV20">
        <v>5.7731793299999996</v>
      </c>
      <c r="BW20">
        <v>5.4975035200000004</v>
      </c>
      <c r="BX20">
        <v>5.7403734899999996</v>
      </c>
      <c r="BY20">
        <v>5.77033971</v>
      </c>
      <c r="BZ20">
        <v>5.84556232</v>
      </c>
      <c r="CA20">
        <v>5.6955602000000001</v>
      </c>
      <c r="CB20">
        <v>5.5751551199999998</v>
      </c>
      <c r="CC20">
        <v>5.6435567200000003</v>
      </c>
      <c r="CD20">
        <v>5.4267330999999999</v>
      </c>
      <c r="CE20">
        <v>5.9230512199999996</v>
      </c>
      <c r="CF20">
        <v>5.8985496599999996</v>
      </c>
      <c r="CG20">
        <v>5.7137141099999997</v>
      </c>
      <c r="CH20">
        <v>5.7277906300000003</v>
      </c>
      <c r="CI20">
        <v>5.5753345200000002</v>
      </c>
      <c r="CJ20">
        <v>5.32024673</v>
      </c>
      <c r="CK20">
        <v>5.7389584899999999</v>
      </c>
      <c r="CL20">
        <v>5.6697092299999996</v>
      </c>
      <c r="CM20">
        <v>5.4288985299999997</v>
      </c>
      <c r="CN20">
        <v>5.9021514799999997</v>
      </c>
      <c r="CO20">
        <v>5.66356108</v>
      </c>
      <c r="CP20">
        <v>5.8664029700000002</v>
      </c>
      <c r="CQ20">
        <v>5.4642956299999996</v>
      </c>
      <c r="CR20">
        <v>5.6011888699999997</v>
      </c>
      <c r="CS20">
        <v>5.7375021500000001</v>
      </c>
      <c r="CT20">
        <v>5.7404773899999997</v>
      </c>
      <c r="CU20">
        <v>5.7537072</v>
      </c>
      <c r="CV20">
        <v>5.7833443500000001</v>
      </c>
      <c r="CW20">
        <v>5.6408221200000002</v>
      </c>
      <c r="CX20">
        <v>5.8120853800000001</v>
      </c>
      <c r="CY20">
        <v>5.7766709900000004</v>
      </c>
      <c r="CZ20">
        <v>5.6737958700000002</v>
      </c>
      <c r="DA20">
        <v>5.8699475400000001</v>
      </c>
      <c r="DB20">
        <v>5.8402477599999996</v>
      </c>
      <c r="DC20">
        <v>5.4249047299999997</v>
      </c>
      <c r="DD20">
        <v>5.6649174899999997</v>
      </c>
      <c r="DE20">
        <v>5.4414573900000001</v>
      </c>
      <c r="DF20">
        <v>5.7266972899999997</v>
      </c>
      <c r="DG20">
        <v>5.6563528999999999</v>
      </c>
      <c r="DH20">
        <v>5.6563528999999999</v>
      </c>
      <c r="DI20">
        <v>5.6563528999999999</v>
      </c>
      <c r="DJ20">
        <v>5.6563528999999999</v>
      </c>
      <c r="DK20">
        <v>5.5489350699999997</v>
      </c>
      <c r="DL20">
        <v>5.4304358300000004</v>
      </c>
      <c r="DM20">
        <v>5.5747132400000003</v>
      </c>
      <c r="DN20">
        <v>5.8594987700000001</v>
      </c>
      <c r="DO20">
        <v>5.7341438599999996</v>
      </c>
      <c r="DP20">
        <v>6.0984726299999998</v>
      </c>
      <c r="DQ20">
        <v>5.5057592</v>
      </c>
      <c r="DR20">
        <v>5.8993686600000004</v>
      </c>
      <c r="DS20">
        <v>6.0153699400000002</v>
      </c>
      <c r="DT20">
        <v>5.8051109399999996</v>
      </c>
      <c r="DU20">
        <v>5.4171339700000001</v>
      </c>
      <c r="DV20">
        <v>5.9474705200000004</v>
      </c>
      <c r="DW20">
        <v>5.8326268700000004</v>
      </c>
      <c r="DX20">
        <v>5.460305</v>
      </c>
      <c r="DY20">
        <v>5.90540456</v>
      </c>
      <c r="DZ20">
        <v>5.9185977999999997</v>
      </c>
      <c r="EA20">
        <v>6.0178965199999999</v>
      </c>
      <c r="EB20">
        <v>5.6582014300000001</v>
      </c>
      <c r="EC20">
        <v>5.6719387699999997</v>
      </c>
      <c r="ED20">
        <v>5.9481311699999999</v>
      </c>
      <c r="EE20">
        <v>5.2837643099999996</v>
      </c>
      <c r="EF20">
        <v>6.0727505800000001</v>
      </c>
      <c r="EG20">
        <v>5.4688297300000004</v>
      </c>
      <c r="EH20">
        <v>6.0473177700000003</v>
      </c>
      <c r="EI20">
        <v>5.1176934899999997</v>
      </c>
      <c r="EJ20">
        <v>5.09208807</v>
      </c>
      <c r="EK20">
        <v>5.7866089499999998</v>
      </c>
      <c r="EL20">
        <v>5.5656359999999996</v>
      </c>
      <c r="EM20">
        <v>6.0090498200000004</v>
      </c>
      <c r="EN20">
        <v>5.8344689199999999</v>
      </c>
      <c r="EO20">
        <v>5.6050868999999999</v>
      </c>
      <c r="EP20">
        <v>5.40745582</v>
      </c>
      <c r="EQ20">
        <v>5.3484052499999999</v>
      </c>
      <c r="ER20">
        <v>5.88309938</v>
      </c>
      <c r="ES20">
        <v>5.8566323000000002</v>
      </c>
      <c r="ET20">
        <v>5.8534516200000004</v>
      </c>
      <c r="EU20">
        <v>5.4579375299999997</v>
      </c>
      <c r="EV20">
        <v>5.8612613500000004</v>
      </c>
      <c r="EW20">
        <v>5.92043301</v>
      </c>
      <c r="EX20">
        <v>5.63230509</v>
      </c>
      <c r="EY20">
        <v>5.7816216999999996</v>
      </c>
      <c r="EZ20">
        <v>5.6622132499999998</v>
      </c>
      <c r="FA20">
        <v>5.3739709500000004</v>
      </c>
      <c r="FB20">
        <v>6.0509372299999997</v>
      </c>
      <c r="FC20">
        <v>5.6361532800000003</v>
      </c>
      <c r="FD20">
        <v>5.6182579300000004</v>
      </c>
      <c r="FE20">
        <v>5.9093318000000004</v>
      </c>
      <c r="FF20">
        <v>5.7646391899999996</v>
      </c>
      <c r="FG20">
        <v>5.7846621300000001</v>
      </c>
      <c r="FH20">
        <v>5.4440318100000002</v>
      </c>
      <c r="FI20">
        <v>5.9162792800000004</v>
      </c>
      <c r="FJ20">
        <v>6.1197795599999996</v>
      </c>
      <c r="FK20">
        <v>5.5211178700000003</v>
      </c>
      <c r="FL20">
        <v>5.2291406800000004</v>
      </c>
      <c r="FM20">
        <v>5.5409009400000002</v>
      </c>
      <c r="FN20">
        <v>5.4868659400000004</v>
      </c>
      <c r="FO20">
        <v>5.7440209199999996</v>
      </c>
      <c r="FP20">
        <v>5.7324375500000002</v>
      </c>
      <c r="FQ20">
        <v>5.5523312499999999</v>
      </c>
      <c r="FR20">
        <v>5.7556782000000002</v>
      </c>
      <c r="FS20">
        <v>5.9057057999999998</v>
      </c>
      <c r="FT20">
        <v>5.6395711400000001</v>
      </c>
      <c r="FU20">
        <v>5.8515294999999998</v>
      </c>
      <c r="FV20">
        <v>5.1166106300000003</v>
      </c>
      <c r="FW20">
        <v>5.72463196</v>
      </c>
      <c r="FX20">
        <v>6.0800655399999997</v>
      </c>
      <c r="FY20">
        <v>5.9381443300000001</v>
      </c>
      <c r="FZ20">
        <v>5.1647652500000003</v>
      </c>
      <c r="GA20">
        <v>5.1718483199999996</v>
      </c>
      <c r="GB20">
        <v>5.4665001699999998</v>
      </c>
      <c r="GC20">
        <v>5.9765134199999999</v>
      </c>
      <c r="GD20">
        <v>5.75057084</v>
      </c>
      <c r="GE20">
        <v>5.69433363</v>
      </c>
      <c r="GF20">
        <v>5.4710644000000004</v>
      </c>
      <c r="GG20">
        <v>5.92058135</v>
      </c>
      <c r="GH20">
        <v>5.58105136</v>
      </c>
      <c r="GI20">
        <v>5.4299866000000003</v>
      </c>
      <c r="GJ20">
        <v>5.7744351700000003</v>
      </c>
      <c r="GK20">
        <v>5.44594047</v>
      </c>
      <c r="GL20">
        <v>5.2005484800000001</v>
      </c>
      <c r="GM20">
        <v>5.7882039900000004</v>
      </c>
      <c r="GN20">
        <v>6.2809689000000004</v>
      </c>
      <c r="GO20">
        <v>5.3561684200000004</v>
      </c>
      <c r="GP20">
        <v>5.3952578899999999</v>
      </c>
      <c r="GQ20">
        <v>5.98148868</v>
      </c>
      <c r="GR20">
        <v>6.27202137</v>
      </c>
      <c r="GS20">
        <v>5.4614547</v>
      </c>
      <c r="GT20">
        <v>4.8444949099999999</v>
      </c>
      <c r="GU20">
        <v>5.1480580900000001</v>
      </c>
      <c r="GV20">
        <v>5.3331257499999998</v>
      </c>
      <c r="GW20">
        <v>5.3698129100000003</v>
      </c>
      <c r="GX20">
        <v>5.2938609599999999</v>
      </c>
      <c r="GY20">
        <v>5.6319677600000002</v>
      </c>
      <c r="GZ20">
        <v>5.6136822200000003</v>
      </c>
      <c r="HA20">
        <v>5.2303190099999997</v>
      </c>
      <c r="HB20">
        <v>5.5712392099999999</v>
      </c>
      <c r="HC20">
        <v>5.6057819899999997</v>
      </c>
      <c r="HD20">
        <v>5.6650225699999996</v>
      </c>
      <c r="HE20">
        <v>5.9717577100000003</v>
      </c>
      <c r="HF20">
        <v>5.6680289200000002</v>
      </c>
      <c r="HG20">
        <v>5.7661332600000001</v>
      </c>
      <c r="HH20">
        <v>5.6124017799999999</v>
      </c>
      <c r="HI20">
        <v>5.7140199899999997</v>
      </c>
      <c r="HJ20">
        <v>5.6684526799999997</v>
      </c>
      <c r="HK20">
        <v>5.6245234899999996</v>
      </c>
      <c r="HL20">
        <v>5.6192803900000001</v>
      </c>
      <c r="HM20">
        <v>5.5707645699999997</v>
      </c>
      <c r="HN20">
        <v>5.7554711999999997</v>
      </c>
      <c r="HO20">
        <v>5.5773234599999997</v>
      </c>
      <c r="HP20">
        <v>5.3362206600000004</v>
      </c>
      <c r="HQ20">
        <v>5.7317487299999996</v>
      </c>
      <c r="HR20">
        <v>5.5878122599999998</v>
      </c>
      <c r="HS20">
        <v>5.4846655899999996</v>
      </c>
      <c r="HT20">
        <v>5.5425287900000004</v>
      </c>
      <c r="HU20">
        <v>5.9044992499999998</v>
      </c>
      <c r="HV20">
        <v>5.7575996500000004</v>
      </c>
      <c r="HW20">
        <v>5.7653479299999999</v>
      </c>
      <c r="HX20">
        <v>5.66752214</v>
      </c>
      <c r="HY20">
        <v>5.6501348199999999</v>
      </c>
      <c r="HZ20">
        <v>5.6888470099999999</v>
      </c>
      <c r="IA20">
        <v>5.6269709399999996</v>
      </c>
      <c r="IB20">
        <v>5.7102594099999999</v>
      </c>
      <c r="IC20">
        <v>5.90084038</v>
      </c>
      <c r="ID20">
        <v>5.2246323600000002</v>
      </c>
      <c r="IE20">
        <v>5.6645404199999998</v>
      </c>
      <c r="IF20">
        <v>5.2808636599999996</v>
      </c>
      <c r="IG20">
        <v>5.6551253199999998</v>
      </c>
      <c r="IH20">
        <v>5.9085470600000001</v>
      </c>
      <c r="II20">
        <v>5.5269195499999997</v>
      </c>
      <c r="IJ20">
        <v>5.8791621000000003</v>
      </c>
      <c r="IK20">
        <v>5.8285677199999997</v>
      </c>
      <c r="IL20">
        <v>5.1086445999999999</v>
      </c>
      <c r="IM20">
        <v>5.5643911900000003</v>
      </c>
      <c r="IN20">
        <v>5.8727855299999998</v>
      </c>
      <c r="IO20">
        <v>5.7923248300000001</v>
      </c>
      <c r="IP20">
        <v>5.4928289599999998</v>
      </c>
      <c r="IQ20">
        <v>6.1085826399999998</v>
      </c>
      <c r="IR20">
        <v>5.4767162799999998</v>
      </c>
      <c r="IS20">
        <v>5.3257333899999999</v>
      </c>
      <c r="IT20">
        <v>5.90935012</v>
      </c>
      <c r="IU20">
        <v>5.7775082400000004</v>
      </c>
      <c r="IV20">
        <v>5.8443442399999999</v>
      </c>
      <c r="IW20">
        <v>5.9014334499999999</v>
      </c>
      <c r="IX20">
        <v>4.93817649</v>
      </c>
      <c r="IY20">
        <v>5.5306163799999997</v>
      </c>
      <c r="IZ20">
        <v>5.9160374400000002</v>
      </c>
      <c r="JA20">
        <v>5.6359409100000004</v>
      </c>
      <c r="JB20">
        <v>5.0674568300000002</v>
      </c>
      <c r="JC20">
        <v>5.71785722</v>
      </c>
      <c r="JD20">
        <v>5.2763511899999997</v>
      </c>
      <c r="JK20" s="21"/>
      <c r="JL20" s="21"/>
      <c r="JM20" s="20"/>
      <c r="JN20" s="35"/>
      <c r="JO20" s="35"/>
      <c r="JP20" s="35"/>
      <c r="JQ20" s="41"/>
      <c r="JR20" s="35"/>
      <c r="JS20" s="35"/>
      <c r="JT20" s="35"/>
      <c r="JU20" s="35"/>
      <c r="JV20" s="35"/>
      <c r="JW20" s="35"/>
    </row>
    <row r="21" spans="1:283" ht="13.8" x14ac:dyDescent="0.3">
      <c r="A21" s="19" t="s">
        <v>11</v>
      </c>
      <c r="B21" s="18" t="s">
        <v>48</v>
      </c>
      <c r="C21" s="14">
        <v>369</v>
      </c>
      <c r="D21" s="13">
        <v>5.6336322000000001</v>
      </c>
      <c r="E21" s="12">
        <v>5.5189460600000002</v>
      </c>
      <c r="F21">
        <v>5.6356633900000004</v>
      </c>
      <c r="G21">
        <v>5.86508568</v>
      </c>
      <c r="H21">
        <v>5.6916774300000004</v>
      </c>
      <c r="I21">
        <v>5.4483151300000001</v>
      </c>
      <c r="J21">
        <v>5.5717734600000002</v>
      </c>
      <c r="K21">
        <v>5.5577820100000004</v>
      </c>
      <c r="L21">
        <v>5.7364693200000003</v>
      </c>
      <c r="M21">
        <v>5.3573304400000001</v>
      </c>
      <c r="N21">
        <v>5.5501433599999999</v>
      </c>
      <c r="O21">
        <v>5.61995413</v>
      </c>
      <c r="P21">
        <v>5.70971385</v>
      </c>
      <c r="Q21">
        <v>5.5652564399999997</v>
      </c>
      <c r="R21">
        <v>5.6802524300000004</v>
      </c>
      <c r="S21">
        <v>5.7408496900000001</v>
      </c>
      <c r="T21">
        <v>5.8285226799999998</v>
      </c>
      <c r="U21">
        <v>5.4569547700000003</v>
      </c>
      <c r="V21">
        <v>5.7734444399999996</v>
      </c>
      <c r="W21">
        <v>5.5191353300000001</v>
      </c>
      <c r="X21">
        <v>5.7181998900000002</v>
      </c>
      <c r="Y21">
        <v>5.4808984900000004</v>
      </c>
      <c r="Z21">
        <v>5.1842028300000003</v>
      </c>
      <c r="AA21">
        <v>5.5800241899999996</v>
      </c>
      <c r="AB21">
        <v>5.5557878399999998</v>
      </c>
      <c r="AC21">
        <v>5.7722395799999999</v>
      </c>
      <c r="AD21">
        <v>5.5869183800000002</v>
      </c>
      <c r="AE21">
        <v>5.3451687799999998</v>
      </c>
      <c r="AF21">
        <v>5.5671306899999999</v>
      </c>
      <c r="AG21">
        <v>5.68565188</v>
      </c>
      <c r="AH21">
        <v>5.6441077499999999</v>
      </c>
      <c r="AI21">
        <v>5.60633801</v>
      </c>
      <c r="AJ21">
        <v>5.6922927100000003</v>
      </c>
      <c r="AK21">
        <v>5.6760917800000001</v>
      </c>
      <c r="AL21">
        <v>5.7370792000000002</v>
      </c>
      <c r="AM21">
        <v>5.71949022</v>
      </c>
      <c r="AN21">
        <v>5.7109509000000003</v>
      </c>
      <c r="AO21">
        <v>5.7249173200000003</v>
      </c>
      <c r="AP21">
        <v>5.47882757</v>
      </c>
      <c r="AQ21">
        <v>5.5003532999999996</v>
      </c>
      <c r="AR21">
        <v>5.6034313400000002</v>
      </c>
      <c r="AS21">
        <v>5.4292518899999997</v>
      </c>
      <c r="AT21">
        <v>5.6628726399999998</v>
      </c>
      <c r="AU21">
        <v>5.6436740299999997</v>
      </c>
      <c r="AV21">
        <v>5.8823201599999999</v>
      </c>
      <c r="AW21">
        <v>5.6366357899999997</v>
      </c>
      <c r="AX21">
        <v>5.7459148400000002</v>
      </c>
      <c r="AY21">
        <v>5.7352697199999998</v>
      </c>
      <c r="AZ21">
        <v>5.3004281600000001</v>
      </c>
      <c r="BA21">
        <v>5.5075717800000001</v>
      </c>
      <c r="BB21">
        <v>5.5744721000000004</v>
      </c>
      <c r="BC21">
        <v>5.6780155299999997</v>
      </c>
      <c r="BD21">
        <v>5.2877185500000001</v>
      </c>
      <c r="BE21">
        <v>5.6794695500000003</v>
      </c>
      <c r="BF21">
        <v>5.7380957300000004</v>
      </c>
      <c r="BG21">
        <v>5.8092130800000001</v>
      </c>
      <c r="BH21">
        <v>5.7260280200000002</v>
      </c>
      <c r="BI21">
        <v>5.5901463800000002</v>
      </c>
      <c r="BJ21">
        <v>5.5632979999999996</v>
      </c>
      <c r="BK21">
        <v>5.7290493400000004</v>
      </c>
      <c r="BL21">
        <v>5.6560442899999996</v>
      </c>
      <c r="BM21">
        <v>5.8795715399999997</v>
      </c>
      <c r="BN21">
        <v>5.7353988300000003</v>
      </c>
      <c r="BO21">
        <v>5.5329291500000002</v>
      </c>
      <c r="BP21">
        <v>5.52809404</v>
      </c>
      <c r="BQ21">
        <v>5.4724710400000003</v>
      </c>
      <c r="BR21">
        <v>5.5415497699999996</v>
      </c>
      <c r="BS21">
        <v>5.5741578199999999</v>
      </c>
      <c r="BT21">
        <v>5.5730179599999996</v>
      </c>
      <c r="BU21">
        <v>5.7517872900000002</v>
      </c>
      <c r="BV21">
        <v>5.7436616200000001</v>
      </c>
      <c r="BW21">
        <v>5.4952468799999998</v>
      </c>
      <c r="BX21">
        <v>5.7094541300000001</v>
      </c>
      <c r="BY21">
        <v>5.7441201700000004</v>
      </c>
      <c r="BZ21">
        <v>5.8139753399999998</v>
      </c>
      <c r="CA21">
        <v>5.67581208</v>
      </c>
      <c r="CB21">
        <v>5.5572606999999996</v>
      </c>
      <c r="CC21">
        <v>5.6241406999999999</v>
      </c>
      <c r="CD21">
        <v>5.4137714299999997</v>
      </c>
      <c r="CE21">
        <v>5.9076608999999998</v>
      </c>
      <c r="CF21">
        <v>5.8668174300000002</v>
      </c>
      <c r="CG21">
        <v>5.6890341099999997</v>
      </c>
      <c r="CH21">
        <v>5.7015738599999999</v>
      </c>
      <c r="CI21">
        <v>5.5614594799999999</v>
      </c>
      <c r="CJ21">
        <v>5.3235495500000001</v>
      </c>
      <c r="CK21">
        <v>5.7089962200000004</v>
      </c>
      <c r="CL21">
        <v>5.6523443799999997</v>
      </c>
      <c r="CM21">
        <v>5.42197014</v>
      </c>
      <c r="CN21">
        <v>5.88365443</v>
      </c>
      <c r="CO21">
        <v>5.6458383000000003</v>
      </c>
      <c r="CP21">
        <v>5.82618773</v>
      </c>
      <c r="CQ21">
        <v>5.4567078100000002</v>
      </c>
      <c r="CR21">
        <v>5.5840096900000002</v>
      </c>
      <c r="CS21">
        <v>5.7133089899999998</v>
      </c>
      <c r="CT21">
        <v>5.7047702100000004</v>
      </c>
      <c r="CU21">
        <v>5.7275936400000003</v>
      </c>
      <c r="CV21">
        <v>5.7552577500000002</v>
      </c>
      <c r="CW21">
        <v>5.6203312199999997</v>
      </c>
      <c r="CX21">
        <v>5.7813082500000004</v>
      </c>
      <c r="CY21">
        <v>5.7471807500000001</v>
      </c>
      <c r="CZ21">
        <v>5.6487812499999999</v>
      </c>
      <c r="DA21">
        <v>5.8309975600000001</v>
      </c>
      <c r="DB21">
        <v>5.8139022899999997</v>
      </c>
      <c r="DC21">
        <v>5.4176486800000001</v>
      </c>
      <c r="DD21">
        <v>5.63844659</v>
      </c>
      <c r="DE21">
        <v>5.4293398699999997</v>
      </c>
      <c r="DF21">
        <v>5.7328817699999997</v>
      </c>
      <c r="DG21">
        <v>5.6336322000000001</v>
      </c>
      <c r="DH21">
        <v>5.6336322000000001</v>
      </c>
      <c r="DI21">
        <v>5.6336322000000001</v>
      </c>
      <c r="DJ21">
        <v>5.6336322000000001</v>
      </c>
      <c r="DK21">
        <v>5.5330498500000003</v>
      </c>
      <c r="DL21">
        <v>5.4201681900000001</v>
      </c>
      <c r="DM21">
        <v>5.54811136</v>
      </c>
      <c r="DN21">
        <v>5.83880965</v>
      </c>
      <c r="DO21">
        <v>5.7056849100000004</v>
      </c>
      <c r="DP21">
        <v>6.0556712199999998</v>
      </c>
      <c r="DQ21">
        <v>5.4793051899999998</v>
      </c>
      <c r="DR21">
        <v>5.8858149400000004</v>
      </c>
      <c r="DS21">
        <v>5.9724256200000001</v>
      </c>
      <c r="DT21">
        <v>5.7629645099999998</v>
      </c>
      <c r="DU21">
        <v>5.4146104299999998</v>
      </c>
      <c r="DV21">
        <v>5.89960416</v>
      </c>
      <c r="DW21">
        <v>5.7940218899999998</v>
      </c>
      <c r="DX21">
        <v>5.4421573900000002</v>
      </c>
      <c r="DY21">
        <v>5.86005734</v>
      </c>
      <c r="DZ21">
        <v>5.9022323300000004</v>
      </c>
      <c r="EA21">
        <v>5.9787436700000001</v>
      </c>
      <c r="EB21">
        <v>5.6288860400000003</v>
      </c>
      <c r="EC21">
        <v>5.6536762700000001</v>
      </c>
      <c r="ED21">
        <v>5.9065327099999996</v>
      </c>
      <c r="EE21">
        <v>5.2904112100000003</v>
      </c>
      <c r="EF21">
        <v>6.0118195999999999</v>
      </c>
      <c r="EG21">
        <v>5.4589164400000003</v>
      </c>
      <c r="EH21">
        <v>5.9867563099999996</v>
      </c>
      <c r="EI21">
        <v>5.1243733100000002</v>
      </c>
      <c r="EJ21">
        <v>5.1109400699999998</v>
      </c>
      <c r="EK21">
        <v>5.7682493800000003</v>
      </c>
      <c r="EL21">
        <v>5.5508861600000001</v>
      </c>
      <c r="EM21">
        <v>5.9754030800000004</v>
      </c>
      <c r="EN21">
        <v>5.8117396699999997</v>
      </c>
      <c r="EO21">
        <v>5.5702654599999999</v>
      </c>
      <c r="EP21">
        <v>5.3872326900000003</v>
      </c>
      <c r="EQ21">
        <v>5.3449990400000003</v>
      </c>
      <c r="ER21">
        <v>5.8547067200000003</v>
      </c>
      <c r="ES21">
        <v>5.8443146700000002</v>
      </c>
      <c r="ET21">
        <v>5.8232233100000004</v>
      </c>
      <c r="EU21">
        <v>5.4474769900000002</v>
      </c>
      <c r="EV21">
        <v>5.8252725300000003</v>
      </c>
      <c r="EW21">
        <v>5.8956327499999999</v>
      </c>
      <c r="EX21">
        <v>5.6073788000000002</v>
      </c>
      <c r="EY21">
        <v>5.7680921100000004</v>
      </c>
      <c r="EZ21">
        <v>5.6272103800000002</v>
      </c>
      <c r="FA21">
        <v>5.3668948900000002</v>
      </c>
      <c r="FB21">
        <v>6.0163965399999997</v>
      </c>
      <c r="FC21">
        <v>5.6132995499999998</v>
      </c>
      <c r="FD21">
        <v>5.6056517299999999</v>
      </c>
      <c r="FE21">
        <v>5.8753441100000003</v>
      </c>
      <c r="FF21">
        <v>5.7396042600000001</v>
      </c>
      <c r="FG21">
        <v>5.7603501000000001</v>
      </c>
      <c r="FH21">
        <v>5.4357598400000002</v>
      </c>
      <c r="FI21">
        <v>5.8808757700000003</v>
      </c>
      <c r="FJ21">
        <v>6.0659705700000002</v>
      </c>
      <c r="FK21">
        <v>5.4982651499999999</v>
      </c>
      <c r="FL21">
        <v>5.2334277399999998</v>
      </c>
      <c r="FM21">
        <v>5.5258484399999999</v>
      </c>
      <c r="FN21">
        <v>5.4685018899999998</v>
      </c>
      <c r="FO21">
        <v>5.7270563499999998</v>
      </c>
      <c r="FP21">
        <v>5.70871452</v>
      </c>
      <c r="FQ21">
        <v>5.5297276499999999</v>
      </c>
      <c r="FR21">
        <v>5.7363692799999999</v>
      </c>
      <c r="FS21">
        <v>5.8470038300000002</v>
      </c>
      <c r="FT21">
        <v>5.6225931400000002</v>
      </c>
      <c r="FU21">
        <v>5.8045002400000003</v>
      </c>
      <c r="FV21">
        <v>5.1272040700000003</v>
      </c>
      <c r="FW21">
        <v>5.70840718</v>
      </c>
      <c r="FX21">
        <v>6.0248809699999999</v>
      </c>
      <c r="FY21">
        <v>5.8891857400000003</v>
      </c>
      <c r="FZ21">
        <v>5.1595374300000003</v>
      </c>
      <c r="GA21">
        <v>5.1466298400000001</v>
      </c>
      <c r="GB21">
        <v>5.4518564999999999</v>
      </c>
      <c r="GC21">
        <v>5.9263597199999998</v>
      </c>
      <c r="GD21">
        <v>5.7150893399999996</v>
      </c>
      <c r="GE21">
        <v>5.6663802199999997</v>
      </c>
      <c r="GF21">
        <v>5.4591270300000003</v>
      </c>
      <c r="GG21">
        <v>5.8728614200000004</v>
      </c>
      <c r="GH21">
        <v>5.5732212199999998</v>
      </c>
      <c r="GI21">
        <v>5.4225169299999996</v>
      </c>
      <c r="GJ21">
        <v>5.73406825</v>
      </c>
      <c r="GK21">
        <v>5.4275945800000001</v>
      </c>
      <c r="GL21">
        <v>5.2082027799999997</v>
      </c>
      <c r="GM21">
        <v>5.7611079099999998</v>
      </c>
      <c r="GN21">
        <v>6.2085071899999997</v>
      </c>
      <c r="GO21">
        <v>5.3443438800000003</v>
      </c>
      <c r="GP21">
        <v>5.3927398699999998</v>
      </c>
      <c r="GQ21">
        <v>5.9562969299999997</v>
      </c>
      <c r="GR21">
        <v>6.2098171100000004</v>
      </c>
      <c r="GS21">
        <v>5.4337698799999998</v>
      </c>
      <c r="GT21">
        <v>4.8831410000000002</v>
      </c>
      <c r="GU21">
        <v>5.1580153199999996</v>
      </c>
      <c r="GV21">
        <v>5.3198396800000003</v>
      </c>
      <c r="GW21">
        <v>5.33862258</v>
      </c>
      <c r="GX21">
        <v>5.3005352300000004</v>
      </c>
      <c r="GY21">
        <v>5.6095523500000004</v>
      </c>
      <c r="GZ21">
        <v>5.5791743199999999</v>
      </c>
      <c r="HA21">
        <v>5.2313121999999996</v>
      </c>
      <c r="HB21">
        <v>5.5511801500000004</v>
      </c>
      <c r="HC21">
        <v>5.5870556599999999</v>
      </c>
      <c r="HD21">
        <v>5.6469040499999998</v>
      </c>
      <c r="HE21">
        <v>5.9262013400000004</v>
      </c>
      <c r="HF21">
        <v>5.6406825500000002</v>
      </c>
      <c r="HG21">
        <v>5.7405006700000003</v>
      </c>
      <c r="HH21">
        <v>5.5909435199999997</v>
      </c>
      <c r="HI21">
        <v>5.6911100399999999</v>
      </c>
      <c r="HJ21">
        <v>5.6393218100000002</v>
      </c>
      <c r="HK21">
        <v>5.5994865999999996</v>
      </c>
      <c r="HL21">
        <v>5.5986744000000002</v>
      </c>
      <c r="HM21">
        <v>5.5536455599999996</v>
      </c>
      <c r="HN21">
        <v>5.7326745900000002</v>
      </c>
      <c r="HO21">
        <v>5.5421752399999997</v>
      </c>
      <c r="HP21">
        <v>5.3359660499999997</v>
      </c>
      <c r="HQ21">
        <v>5.7021634199999998</v>
      </c>
      <c r="HR21">
        <v>5.5710729399999996</v>
      </c>
      <c r="HS21">
        <v>5.4636169600000004</v>
      </c>
      <c r="HT21">
        <v>5.5253715200000002</v>
      </c>
      <c r="HU21">
        <v>5.8778132899999997</v>
      </c>
      <c r="HV21">
        <v>5.7254717800000003</v>
      </c>
      <c r="HW21">
        <v>5.7245837100000001</v>
      </c>
      <c r="HX21">
        <v>5.6462798000000003</v>
      </c>
      <c r="HY21">
        <v>5.6229194099999997</v>
      </c>
      <c r="HZ21">
        <v>5.6630289400000002</v>
      </c>
      <c r="IA21">
        <v>5.6078935999999997</v>
      </c>
      <c r="IB21">
        <v>5.6920811100000002</v>
      </c>
      <c r="IC21">
        <v>5.8575435599999999</v>
      </c>
      <c r="ID21">
        <v>5.2183224099999999</v>
      </c>
      <c r="IE21">
        <v>5.6352914700000003</v>
      </c>
      <c r="IF21">
        <v>5.2631729299999996</v>
      </c>
      <c r="IG21">
        <v>5.63561684</v>
      </c>
      <c r="IH21">
        <v>5.8637644800000004</v>
      </c>
      <c r="II21">
        <v>5.51472053</v>
      </c>
      <c r="IJ21">
        <v>5.8393298199999997</v>
      </c>
      <c r="IK21">
        <v>5.7856217000000001</v>
      </c>
      <c r="IL21">
        <v>5.09599563</v>
      </c>
      <c r="IM21">
        <v>5.5438235000000002</v>
      </c>
      <c r="IN21">
        <v>5.8435449100000003</v>
      </c>
      <c r="IO21">
        <v>5.7613967300000004</v>
      </c>
      <c r="IP21">
        <v>5.47655783</v>
      </c>
      <c r="IQ21">
        <v>6.0634369599999998</v>
      </c>
      <c r="IR21">
        <v>5.4566105599999997</v>
      </c>
      <c r="IS21">
        <v>5.3245840800000002</v>
      </c>
      <c r="IT21">
        <v>5.8739300999999999</v>
      </c>
      <c r="IU21">
        <v>5.7527718500000002</v>
      </c>
      <c r="IV21">
        <v>5.8096991400000002</v>
      </c>
      <c r="IW21">
        <v>5.8508465300000001</v>
      </c>
      <c r="IX21">
        <v>4.9176071700000001</v>
      </c>
      <c r="IY21">
        <v>5.51627197</v>
      </c>
      <c r="IZ21">
        <v>5.8782831099999999</v>
      </c>
      <c r="JA21">
        <v>5.6111293599999996</v>
      </c>
      <c r="JB21">
        <v>5.0773535399999998</v>
      </c>
      <c r="JC21">
        <v>5.6880129799999999</v>
      </c>
      <c r="JD21">
        <v>5.2574384500000004</v>
      </c>
      <c r="JK21" s="21"/>
      <c r="JL21" s="21"/>
      <c r="JM21" s="20"/>
      <c r="JN21" s="35"/>
      <c r="JO21" s="35"/>
      <c r="JP21" s="35"/>
      <c r="JQ21" s="41"/>
      <c r="JR21" s="35"/>
      <c r="JS21" s="35"/>
      <c r="JT21" s="35"/>
      <c r="JU21" s="35"/>
      <c r="JV21" s="35"/>
      <c r="JW21" s="35"/>
    </row>
    <row r="22" spans="1:283" ht="13.8" x14ac:dyDescent="0.3">
      <c r="A22" s="19" t="s">
        <v>11</v>
      </c>
      <c r="B22" s="18" t="s">
        <v>48</v>
      </c>
      <c r="C22" s="14">
        <v>734</v>
      </c>
      <c r="D22" s="13">
        <v>5.0862569400000002</v>
      </c>
      <c r="E22" s="12">
        <v>5.0392194400000001</v>
      </c>
      <c r="F22">
        <v>5.0243261800000001</v>
      </c>
      <c r="G22">
        <v>5.1791331100000004</v>
      </c>
      <c r="H22">
        <v>5.0871329899999997</v>
      </c>
      <c r="I22">
        <v>5.0035683000000004</v>
      </c>
      <c r="J22">
        <v>5.0877172599999998</v>
      </c>
      <c r="K22">
        <v>5.0759843499999997</v>
      </c>
      <c r="L22">
        <v>5.1361154200000003</v>
      </c>
      <c r="M22">
        <v>4.9926833899999998</v>
      </c>
      <c r="N22">
        <v>5.0050684399999996</v>
      </c>
      <c r="O22">
        <v>5.0819015399999996</v>
      </c>
      <c r="P22">
        <v>5.1703366199999996</v>
      </c>
      <c r="Q22">
        <v>4.9879114900000001</v>
      </c>
      <c r="R22">
        <v>5.1381320300000004</v>
      </c>
      <c r="S22">
        <v>5.1934196500000001</v>
      </c>
      <c r="T22">
        <v>5.0824650900000004</v>
      </c>
      <c r="U22">
        <v>5.0774449800000001</v>
      </c>
      <c r="V22">
        <v>5.0573435199999999</v>
      </c>
      <c r="W22">
        <v>4.9680318100000003</v>
      </c>
      <c r="X22">
        <v>5.1457161600000001</v>
      </c>
      <c r="Y22">
        <v>5.03978912</v>
      </c>
      <c r="Z22">
        <v>4.8864738499999998</v>
      </c>
      <c r="AA22">
        <v>5.0851950099999996</v>
      </c>
      <c r="AB22">
        <v>5.1914945000000001</v>
      </c>
      <c r="AC22">
        <v>4.80186446</v>
      </c>
      <c r="AD22">
        <v>5.1326380900000004</v>
      </c>
      <c r="AE22">
        <v>4.9813771600000001</v>
      </c>
      <c r="AF22">
        <v>5.0421561700000002</v>
      </c>
      <c r="AG22">
        <v>5.1988237799999997</v>
      </c>
      <c r="AH22">
        <v>5.0806820200000002</v>
      </c>
      <c r="AI22">
        <v>5.0742054599999999</v>
      </c>
      <c r="AJ22">
        <v>4.9840063199999998</v>
      </c>
      <c r="AK22">
        <v>5.1385974499999998</v>
      </c>
      <c r="AL22">
        <v>5.1442905000000003</v>
      </c>
      <c r="AM22">
        <v>5.0351091700000001</v>
      </c>
      <c r="AN22">
        <v>5.11949655</v>
      </c>
      <c r="AO22">
        <v>5.1316918300000003</v>
      </c>
      <c r="AP22">
        <v>5.0389700499999996</v>
      </c>
      <c r="AQ22">
        <v>5.0577898899999996</v>
      </c>
      <c r="AR22">
        <v>5.0375593199999997</v>
      </c>
      <c r="AS22">
        <v>5.07803776</v>
      </c>
      <c r="AT22">
        <v>5.0830896599999997</v>
      </c>
      <c r="AU22">
        <v>5.1406083100000002</v>
      </c>
      <c r="AV22">
        <v>5.1504336999999998</v>
      </c>
      <c r="AW22">
        <v>5.0864238000000004</v>
      </c>
      <c r="AX22">
        <v>5.1751589200000003</v>
      </c>
      <c r="AY22">
        <v>4.98735398</v>
      </c>
      <c r="AZ22">
        <v>4.9779668499999996</v>
      </c>
      <c r="BA22">
        <v>5.0384099000000004</v>
      </c>
      <c r="BB22">
        <v>5.1413181300000002</v>
      </c>
      <c r="BC22">
        <v>4.9905413999999997</v>
      </c>
      <c r="BD22">
        <v>5.1563002999999998</v>
      </c>
      <c r="BE22">
        <v>5.1128666599999999</v>
      </c>
      <c r="BF22">
        <v>5.1885142699999998</v>
      </c>
      <c r="BG22">
        <v>5.0912568599999997</v>
      </c>
      <c r="BH22">
        <v>5.1329882700000002</v>
      </c>
      <c r="BI22">
        <v>5.0744619899999996</v>
      </c>
      <c r="BJ22">
        <v>5.0853757399999999</v>
      </c>
      <c r="BK22">
        <v>5.1390584700000002</v>
      </c>
      <c r="BL22">
        <v>5.0959795699999999</v>
      </c>
      <c r="BM22">
        <v>5.1927217399999996</v>
      </c>
      <c r="BN22">
        <v>5.1106366200000002</v>
      </c>
      <c r="BO22">
        <v>4.9876650400000004</v>
      </c>
      <c r="BP22">
        <v>5.0993026199999996</v>
      </c>
      <c r="BQ22">
        <v>4.9428574899999997</v>
      </c>
      <c r="BR22">
        <v>5.1248917900000004</v>
      </c>
      <c r="BS22">
        <v>5.0846785499999996</v>
      </c>
      <c r="BT22">
        <v>5.0447461300000001</v>
      </c>
      <c r="BU22">
        <v>5.2356141100000002</v>
      </c>
      <c r="BV22">
        <v>5.0838195900000001</v>
      </c>
      <c r="BW22">
        <v>5.0315354699999997</v>
      </c>
      <c r="BX22">
        <v>5.1794053399999997</v>
      </c>
      <c r="BY22">
        <v>5.1914735099999998</v>
      </c>
      <c r="BZ22">
        <v>5.1911638399999998</v>
      </c>
      <c r="CA22">
        <v>5.0656512100000004</v>
      </c>
      <c r="CB22">
        <v>5.0361088299999999</v>
      </c>
      <c r="CC22">
        <v>5.1014099699999997</v>
      </c>
      <c r="CD22">
        <v>4.9437831000000001</v>
      </c>
      <c r="CE22">
        <v>5.2685769499999999</v>
      </c>
      <c r="CF22">
        <v>5.17713059</v>
      </c>
      <c r="CG22">
        <v>5.1805480199999998</v>
      </c>
      <c r="CH22">
        <v>5.0995420600000001</v>
      </c>
      <c r="CI22">
        <v>4.9412739099999996</v>
      </c>
      <c r="CJ22">
        <v>5.0347863000000004</v>
      </c>
      <c r="CK22">
        <v>5.0329344499999999</v>
      </c>
      <c r="CL22">
        <v>5.0832628700000004</v>
      </c>
      <c r="CM22">
        <v>5.1053114400000004</v>
      </c>
      <c r="CN22">
        <v>5.0870831699999997</v>
      </c>
      <c r="CO22">
        <v>5.2725247900000003</v>
      </c>
      <c r="CP22">
        <v>5.0722002799999997</v>
      </c>
      <c r="CQ22">
        <v>5.0065274200000003</v>
      </c>
      <c r="CR22">
        <v>5.1352100199999997</v>
      </c>
      <c r="CS22">
        <v>5.3223922799999999</v>
      </c>
      <c r="CT22">
        <v>5.03184393</v>
      </c>
      <c r="CU22">
        <v>5.1796805199999998</v>
      </c>
      <c r="CV22">
        <v>5.0470916900000002</v>
      </c>
      <c r="CW22">
        <v>5.0874772899999998</v>
      </c>
      <c r="CX22">
        <v>5.1732408699999999</v>
      </c>
      <c r="CY22">
        <v>5.2285680499999998</v>
      </c>
      <c r="CZ22">
        <v>5.0821103900000004</v>
      </c>
      <c r="DA22">
        <v>5.0960797500000004</v>
      </c>
      <c r="DB22">
        <v>5.0837263799999999</v>
      </c>
      <c r="DC22">
        <v>5.0308675999999997</v>
      </c>
      <c r="DD22">
        <v>4.9616378799999996</v>
      </c>
      <c r="DE22">
        <v>4.9407977000000001</v>
      </c>
      <c r="DF22">
        <v>5.2823409100000003</v>
      </c>
      <c r="DG22">
        <v>5.0862569400000002</v>
      </c>
      <c r="DH22">
        <v>5.0862569400000002</v>
      </c>
      <c r="DI22">
        <v>5.0862569400000002</v>
      </c>
      <c r="DJ22">
        <v>5.0862569400000002</v>
      </c>
      <c r="DK22">
        <v>5.0449542100000002</v>
      </c>
      <c r="DL22">
        <v>4.9994359599999996</v>
      </c>
      <c r="DM22">
        <v>5.1037402800000002</v>
      </c>
      <c r="DN22">
        <v>5.2026400900000001</v>
      </c>
      <c r="DO22">
        <v>5.3754823700000003</v>
      </c>
      <c r="DP22">
        <v>5.1901500800000004</v>
      </c>
      <c r="DQ22">
        <v>4.9167128</v>
      </c>
      <c r="DR22">
        <v>5.4674957800000001</v>
      </c>
      <c r="DS22">
        <v>5.1768128300000003</v>
      </c>
      <c r="DT22">
        <v>5.0825446400000001</v>
      </c>
      <c r="DU22">
        <v>5.1970757699999997</v>
      </c>
      <c r="DV22">
        <v>5.1320035900000001</v>
      </c>
      <c r="DW22">
        <v>5.0764962799999998</v>
      </c>
      <c r="DX22">
        <v>5.0413065799999996</v>
      </c>
      <c r="DY22">
        <v>5.2360577599999996</v>
      </c>
      <c r="DZ22">
        <v>5.2796187200000002</v>
      </c>
      <c r="EA22">
        <v>5.1240583700000002</v>
      </c>
      <c r="EB22">
        <v>5.1837362599999999</v>
      </c>
      <c r="EC22">
        <v>5.0874630200000004</v>
      </c>
      <c r="ED22">
        <v>5.1398654199999996</v>
      </c>
      <c r="EE22">
        <v>5.0188879799999997</v>
      </c>
      <c r="EF22">
        <v>5.0708742100000004</v>
      </c>
      <c r="EG22">
        <v>5.06368128</v>
      </c>
      <c r="EH22">
        <v>5.03266978</v>
      </c>
      <c r="EI22">
        <v>4.8553183200000003</v>
      </c>
      <c r="EJ22">
        <v>4.9453333700000002</v>
      </c>
      <c r="EK22">
        <v>5.2240778199999998</v>
      </c>
      <c r="EL22">
        <v>5.0859174999999999</v>
      </c>
      <c r="EM22">
        <v>5.2790383600000004</v>
      </c>
      <c r="EN22">
        <v>5.1438041099999996</v>
      </c>
      <c r="EO22">
        <v>4.9927881899999997</v>
      </c>
      <c r="EP22">
        <v>5.0310721200000001</v>
      </c>
      <c r="EQ22">
        <v>5.0933061400000001</v>
      </c>
      <c r="ER22">
        <v>5.28364352</v>
      </c>
      <c r="ES22">
        <v>5.1728953799999999</v>
      </c>
      <c r="ET22">
        <v>5.13241426</v>
      </c>
      <c r="EU22">
        <v>5.0378572699999999</v>
      </c>
      <c r="EV22">
        <v>5.2899032400000001</v>
      </c>
      <c r="EW22">
        <v>5.1404336500000003</v>
      </c>
      <c r="EX22">
        <v>5.0303764500000003</v>
      </c>
      <c r="EY22">
        <v>5.1838810000000004</v>
      </c>
      <c r="EZ22">
        <v>4.9877529599999999</v>
      </c>
      <c r="FA22">
        <v>5.1801977600000004</v>
      </c>
      <c r="FB22">
        <v>5.1797326400000001</v>
      </c>
      <c r="FC22">
        <v>5.0857405900000003</v>
      </c>
      <c r="FD22">
        <v>5.24169339</v>
      </c>
      <c r="FE22">
        <v>5.1832865100000003</v>
      </c>
      <c r="FF22">
        <v>5.1285313300000004</v>
      </c>
      <c r="FG22">
        <v>5.0848929900000002</v>
      </c>
      <c r="FH22">
        <v>4.9885866300000004</v>
      </c>
      <c r="FI22">
        <v>5.2208982099999997</v>
      </c>
      <c r="FJ22">
        <v>5.3044850500000003</v>
      </c>
      <c r="FK22">
        <v>5.0311924699999997</v>
      </c>
      <c r="FL22">
        <v>5.0099390699999997</v>
      </c>
      <c r="FM22">
        <v>4.9260894200000003</v>
      </c>
      <c r="FN22">
        <v>5.0870344799999998</v>
      </c>
      <c r="FO22">
        <v>5.1770980399999997</v>
      </c>
      <c r="FP22">
        <v>5.1338282900000003</v>
      </c>
      <c r="FQ22">
        <v>4.8961053200000002</v>
      </c>
      <c r="FR22">
        <v>5.2805879899999999</v>
      </c>
      <c r="FS22">
        <v>5.0779767800000002</v>
      </c>
      <c r="FT22">
        <v>5.0864866800000001</v>
      </c>
      <c r="FU22">
        <v>5.0850054800000004</v>
      </c>
      <c r="FV22">
        <v>4.9238547300000004</v>
      </c>
      <c r="FW22">
        <v>5.28149202</v>
      </c>
      <c r="FX22">
        <v>5.17715529</v>
      </c>
      <c r="FY22">
        <v>4.9121354999999998</v>
      </c>
      <c r="FZ22">
        <v>5.0143269999999998</v>
      </c>
      <c r="GA22">
        <v>4.8251885899999998</v>
      </c>
      <c r="GB22">
        <v>5.0382101400000003</v>
      </c>
      <c r="GC22">
        <v>5.1258623700000001</v>
      </c>
      <c r="GD22">
        <v>5.1834107100000004</v>
      </c>
      <c r="GE22">
        <v>5.0354489899999999</v>
      </c>
      <c r="GF22">
        <v>5.03379713</v>
      </c>
      <c r="GG22">
        <v>5.0562253100000003</v>
      </c>
      <c r="GH22">
        <v>4.9809534099999997</v>
      </c>
      <c r="GI22">
        <v>5.2103613700000002</v>
      </c>
      <c r="GJ22">
        <v>5.1095674600000001</v>
      </c>
      <c r="GK22">
        <v>4.8100505399999998</v>
      </c>
      <c r="GL22">
        <v>5.2126534600000003</v>
      </c>
      <c r="GM22">
        <v>5.1572838799999996</v>
      </c>
      <c r="GN22">
        <v>5.0460690499999998</v>
      </c>
      <c r="GO22">
        <v>4.9155186100000003</v>
      </c>
      <c r="GP22">
        <v>5.1006370800000003</v>
      </c>
      <c r="GQ22">
        <v>5.2598139499999998</v>
      </c>
      <c r="GR22">
        <v>5.1421143899999997</v>
      </c>
      <c r="GS22">
        <v>4.9250414300000003</v>
      </c>
      <c r="GT22">
        <v>4.4048457599999997</v>
      </c>
      <c r="GU22">
        <v>4.7972632900000001</v>
      </c>
      <c r="GV22">
        <v>4.9545029600000001</v>
      </c>
      <c r="GW22">
        <v>4.8932985899999997</v>
      </c>
      <c r="GX22">
        <v>5.03257055</v>
      </c>
      <c r="GY22">
        <v>4.9863474300000004</v>
      </c>
      <c r="GZ22">
        <v>4.8893112600000004</v>
      </c>
      <c r="HA22">
        <v>5.0087939500000003</v>
      </c>
      <c r="HB22">
        <v>5.08764504</v>
      </c>
      <c r="HC22">
        <v>5.0777788700000004</v>
      </c>
      <c r="HD22">
        <v>5.0841175200000004</v>
      </c>
      <c r="HE22">
        <v>5.1282868500000003</v>
      </c>
      <c r="HF22">
        <v>5.0998039799999999</v>
      </c>
      <c r="HG22">
        <v>5.23160194</v>
      </c>
      <c r="HH22">
        <v>5.02734317</v>
      </c>
      <c r="HI22">
        <v>5.03480273</v>
      </c>
      <c r="HJ22">
        <v>5.03487566</v>
      </c>
      <c r="HK22">
        <v>4.9047000199999999</v>
      </c>
      <c r="HL22">
        <v>5.0862666799999996</v>
      </c>
      <c r="HM22">
        <v>5.0258065800000002</v>
      </c>
      <c r="HN22">
        <v>5.1819060400000003</v>
      </c>
      <c r="HO22">
        <v>4.8906362799999998</v>
      </c>
      <c r="HP22">
        <v>5.08199822</v>
      </c>
      <c r="HQ22">
        <v>5.0604059000000001</v>
      </c>
      <c r="HR22">
        <v>5.0750893100000001</v>
      </c>
      <c r="HS22">
        <v>4.99000412</v>
      </c>
      <c r="HT22">
        <v>5.06644454</v>
      </c>
      <c r="HU22">
        <v>5.2208898000000001</v>
      </c>
      <c r="HV22">
        <v>5.0152494299999999</v>
      </c>
      <c r="HW22">
        <v>5.1853860899999997</v>
      </c>
      <c r="HX22">
        <v>5.1346436200000003</v>
      </c>
      <c r="HY22">
        <v>4.99991656</v>
      </c>
      <c r="HZ22">
        <v>5.0858062999999998</v>
      </c>
      <c r="IA22">
        <v>5.1724436999999996</v>
      </c>
      <c r="IB22">
        <v>5.1825492500000001</v>
      </c>
      <c r="IC22">
        <v>5.1304030100000002</v>
      </c>
      <c r="ID22">
        <v>4.9115264700000001</v>
      </c>
      <c r="IE22">
        <v>4.9880796800000002</v>
      </c>
      <c r="IF22">
        <v>4.8839928400000003</v>
      </c>
      <c r="IG22">
        <v>5.0847944299999996</v>
      </c>
      <c r="IH22">
        <v>5.1783909799999996</v>
      </c>
      <c r="II22">
        <v>5.0060532499999999</v>
      </c>
      <c r="IJ22">
        <v>5.2297758099999996</v>
      </c>
      <c r="IK22">
        <v>4.9689893300000003</v>
      </c>
      <c r="IL22">
        <v>4.9492187400000001</v>
      </c>
      <c r="IM22">
        <v>5.0373346999999997</v>
      </c>
      <c r="IN22">
        <v>5.2943809499999999</v>
      </c>
      <c r="IO22">
        <v>5.1818121100000001</v>
      </c>
      <c r="IP22">
        <v>4.9786154700000003</v>
      </c>
      <c r="IQ22">
        <v>5.1239542800000004</v>
      </c>
      <c r="IR22">
        <v>4.84336184</v>
      </c>
      <c r="IS22">
        <v>5.0714995800000002</v>
      </c>
      <c r="IT22">
        <v>5.21617117</v>
      </c>
      <c r="IU22">
        <v>5.2172800300000004</v>
      </c>
      <c r="IV22">
        <v>5.1305102900000001</v>
      </c>
      <c r="IW22">
        <v>4.9337307099999999</v>
      </c>
      <c r="IX22">
        <v>4.8206883400000002</v>
      </c>
      <c r="IY22">
        <v>5.08887336</v>
      </c>
      <c r="IZ22">
        <v>5.1139834300000002</v>
      </c>
      <c r="JA22">
        <v>4.7982263999999999</v>
      </c>
      <c r="JB22">
        <v>4.9686076899999998</v>
      </c>
      <c r="JC22">
        <v>4.98041731</v>
      </c>
      <c r="JD22">
        <v>5.0304449</v>
      </c>
      <c r="JK22" s="21"/>
      <c r="JL22" s="21"/>
      <c r="JM22" s="20"/>
      <c r="JN22" s="35"/>
      <c r="JO22" s="35"/>
      <c r="JP22" s="35"/>
      <c r="JQ22" s="41"/>
      <c r="JR22" s="35"/>
      <c r="JS22" s="35"/>
      <c r="JT22" s="35"/>
      <c r="JU22" s="35"/>
      <c r="JV22" s="35"/>
      <c r="JW22" s="35"/>
    </row>
    <row r="23" spans="1:283" ht="13.8" x14ac:dyDescent="0.3">
      <c r="A23" s="19" t="s">
        <v>11</v>
      </c>
      <c r="B23" s="18" t="s">
        <v>48</v>
      </c>
      <c r="C23" s="14">
        <v>1099</v>
      </c>
      <c r="D23" s="13">
        <v>5.1531399100000002</v>
      </c>
      <c r="E23" s="12">
        <v>5.1060512300000003</v>
      </c>
      <c r="F23">
        <v>5.0932178500000003</v>
      </c>
      <c r="G23">
        <v>5.2473836499999997</v>
      </c>
      <c r="H23">
        <v>5.1525884499999997</v>
      </c>
      <c r="I23">
        <v>5.0682723999999997</v>
      </c>
      <c r="J23">
        <v>5.1548875000000001</v>
      </c>
      <c r="K23">
        <v>5.1954671699999997</v>
      </c>
      <c r="L23">
        <v>5.19974033</v>
      </c>
      <c r="M23">
        <v>5.0608299900000002</v>
      </c>
      <c r="N23">
        <v>5.0851630099999996</v>
      </c>
      <c r="O23">
        <v>5.1337187200000001</v>
      </c>
      <c r="P23">
        <v>5.1889884500000001</v>
      </c>
      <c r="Q23">
        <v>5.1074226600000001</v>
      </c>
      <c r="R23">
        <v>5.1512395299999998</v>
      </c>
      <c r="S23">
        <v>5.2595399599999997</v>
      </c>
      <c r="T23">
        <v>5.1488094699999998</v>
      </c>
      <c r="U23">
        <v>5.1461208200000002</v>
      </c>
      <c r="V23">
        <v>5.1258505000000003</v>
      </c>
      <c r="W23">
        <v>5.0327106400000003</v>
      </c>
      <c r="X23">
        <v>5.2102434200000003</v>
      </c>
      <c r="Y23">
        <v>5.1078781900000001</v>
      </c>
      <c r="Z23">
        <v>5.0054237500000003</v>
      </c>
      <c r="AA23">
        <v>5.1543948100000003</v>
      </c>
      <c r="AB23">
        <v>5.2036170000000004</v>
      </c>
      <c r="AC23">
        <v>4.93395867</v>
      </c>
      <c r="AD23">
        <v>5.1849859900000004</v>
      </c>
      <c r="AE23">
        <v>5.0502570200000001</v>
      </c>
      <c r="AF23">
        <v>5.1118830199999996</v>
      </c>
      <c r="AG23">
        <v>5.2609580300000003</v>
      </c>
      <c r="AH23">
        <v>5.14653692</v>
      </c>
      <c r="AI23">
        <v>5.1437015099999996</v>
      </c>
      <c r="AJ23">
        <v>5.0527031999999998</v>
      </c>
      <c r="AK23">
        <v>5.20117691</v>
      </c>
      <c r="AL23">
        <v>5.2104142400000004</v>
      </c>
      <c r="AM23">
        <v>5.1024068500000004</v>
      </c>
      <c r="AN23">
        <v>5.18919803</v>
      </c>
      <c r="AO23">
        <v>5.2004863600000002</v>
      </c>
      <c r="AP23">
        <v>5.1073536300000004</v>
      </c>
      <c r="AQ23">
        <v>5.1178111800000003</v>
      </c>
      <c r="AR23">
        <v>5.1043525299999999</v>
      </c>
      <c r="AS23">
        <v>5.1464899300000004</v>
      </c>
      <c r="AT23">
        <v>5.1532153899999997</v>
      </c>
      <c r="AU23">
        <v>5.2022933900000004</v>
      </c>
      <c r="AV23">
        <v>5.1671570999999998</v>
      </c>
      <c r="AW23">
        <v>5.1532398300000004</v>
      </c>
      <c r="AX23">
        <v>5.1430678700000003</v>
      </c>
      <c r="AY23">
        <v>5.1024204900000001</v>
      </c>
      <c r="AZ23">
        <v>5.1478027700000002</v>
      </c>
      <c r="BA23">
        <v>5.1071488199999999</v>
      </c>
      <c r="BB23">
        <v>5.1524509900000002</v>
      </c>
      <c r="BC23">
        <v>5.11277369</v>
      </c>
      <c r="BD23">
        <v>5.2205601699999997</v>
      </c>
      <c r="BE23">
        <v>5.1337446900000003</v>
      </c>
      <c r="BF23">
        <v>5.2482776299999996</v>
      </c>
      <c r="BG23">
        <v>5.1607606500000003</v>
      </c>
      <c r="BH23">
        <v>5.19928422</v>
      </c>
      <c r="BI23">
        <v>5.1429323</v>
      </c>
      <c r="BJ23">
        <v>5.1557968900000004</v>
      </c>
      <c r="BK23">
        <v>5.2005397999999996</v>
      </c>
      <c r="BL23">
        <v>5.2150412900000003</v>
      </c>
      <c r="BM23">
        <v>5.2221345299999999</v>
      </c>
      <c r="BN23">
        <v>5.1672390799999999</v>
      </c>
      <c r="BO23">
        <v>5.1023737899999997</v>
      </c>
      <c r="BP23">
        <v>5.16592217</v>
      </c>
      <c r="BQ23">
        <v>5.0102161199999999</v>
      </c>
      <c r="BR23">
        <v>5.1931775499999997</v>
      </c>
      <c r="BS23">
        <v>5.1546315399999996</v>
      </c>
      <c r="BT23">
        <v>5.1051641600000002</v>
      </c>
      <c r="BU23">
        <v>5.3071110499999996</v>
      </c>
      <c r="BV23">
        <v>5.1517045699999997</v>
      </c>
      <c r="BW23">
        <v>5.0965508699999997</v>
      </c>
      <c r="BX23">
        <v>5.2493696500000002</v>
      </c>
      <c r="BY23">
        <v>5.2650986599999996</v>
      </c>
      <c r="BZ23">
        <v>5.2519908300000004</v>
      </c>
      <c r="CA23">
        <v>5.1318997099999999</v>
      </c>
      <c r="CB23">
        <v>5.10575548</v>
      </c>
      <c r="CC23">
        <v>5.1644141899999996</v>
      </c>
      <c r="CD23">
        <v>5.01008078</v>
      </c>
      <c r="CE23">
        <v>5.3343664899999998</v>
      </c>
      <c r="CF23">
        <v>5.2465413999999999</v>
      </c>
      <c r="CG23">
        <v>5.2501106399999999</v>
      </c>
      <c r="CH23">
        <v>5.16241153</v>
      </c>
      <c r="CI23">
        <v>5.0075267999999999</v>
      </c>
      <c r="CJ23">
        <v>5.1000076099999996</v>
      </c>
      <c r="CK23">
        <v>5.1030375799999996</v>
      </c>
      <c r="CL23">
        <v>5.1528648600000002</v>
      </c>
      <c r="CM23">
        <v>5.1680721199999997</v>
      </c>
      <c r="CN23">
        <v>5.1541443100000004</v>
      </c>
      <c r="CO23">
        <v>5.3383666200000004</v>
      </c>
      <c r="CP23">
        <v>5.1445195200000002</v>
      </c>
      <c r="CQ23">
        <v>5.1182695100000002</v>
      </c>
      <c r="CR23">
        <v>5.1531500399999999</v>
      </c>
      <c r="CS23">
        <v>5.3883145700000004</v>
      </c>
      <c r="CT23">
        <v>5.1019895100000001</v>
      </c>
      <c r="CU23">
        <v>5.2495914700000004</v>
      </c>
      <c r="CV23">
        <v>5.1254839199999997</v>
      </c>
      <c r="CW23">
        <v>5.1379969499999998</v>
      </c>
      <c r="CX23">
        <v>5.2388435400000004</v>
      </c>
      <c r="CY23">
        <v>5.2981631299999998</v>
      </c>
      <c r="CZ23">
        <v>5.0524099299999996</v>
      </c>
      <c r="DA23">
        <v>5.1582929999999996</v>
      </c>
      <c r="DB23">
        <v>5.1492788000000003</v>
      </c>
      <c r="DC23">
        <v>5.0468351199999999</v>
      </c>
      <c r="DD23">
        <v>5.0805770399999997</v>
      </c>
      <c r="DE23">
        <v>5.0088128100000002</v>
      </c>
      <c r="DF23">
        <v>5.3487816500000003</v>
      </c>
      <c r="DG23">
        <v>5.1531399100000002</v>
      </c>
      <c r="DH23">
        <v>5.1531399100000002</v>
      </c>
      <c r="DI23">
        <v>5.1531399100000002</v>
      </c>
      <c r="DJ23">
        <v>5.1531399100000002</v>
      </c>
      <c r="DK23">
        <v>5.12708868</v>
      </c>
      <c r="DL23">
        <v>5.0479045400000002</v>
      </c>
      <c r="DM23">
        <v>5.1182087000000003</v>
      </c>
      <c r="DN23">
        <v>5.2726461999999996</v>
      </c>
      <c r="DO23">
        <v>5.3970601499999997</v>
      </c>
      <c r="DP23">
        <v>5.2547048099999998</v>
      </c>
      <c r="DQ23">
        <v>4.9815602300000004</v>
      </c>
      <c r="DR23">
        <v>5.4821241900000004</v>
      </c>
      <c r="DS23">
        <v>5.24650354</v>
      </c>
      <c r="DT23">
        <v>5.1508217900000002</v>
      </c>
      <c r="DU23">
        <v>5.21639476</v>
      </c>
      <c r="DV23">
        <v>5.1954423399999996</v>
      </c>
      <c r="DW23">
        <v>5.1403799899999996</v>
      </c>
      <c r="DX23">
        <v>5.1114378299999998</v>
      </c>
      <c r="DY23">
        <v>5.3081560100000003</v>
      </c>
      <c r="DZ23">
        <v>5.29167538</v>
      </c>
      <c r="EA23">
        <v>5.2132997599999999</v>
      </c>
      <c r="EB23">
        <v>5.2263031399999997</v>
      </c>
      <c r="EC23">
        <v>5.1506519400000004</v>
      </c>
      <c r="ED23">
        <v>5.2078628800000004</v>
      </c>
      <c r="EE23">
        <v>5.1116916300000002</v>
      </c>
      <c r="EF23">
        <v>5.1198473900000003</v>
      </c>
      <c r="EG23">
        <v>5.2231526800000001</v>
      </c>
      <c r="EH23">
        <v>5.0976956800000002</v>
      </c>
      <c r="EI23">
        <v>4.9233072699999996</v>
      </c>
      <c r="EJ23">
        <v>5.0125769900000003</v>
      </c>
      <c r="EK23">
        <v>5.2902139699999999</v>
      </c>
      <c r="EL23">
        <v>5.1039608200000002</v>
      </c>
      <c r="EM23">
        <v>5.39716767</v>
      </c>
      <c r="EN23">
        <v>5.2105836400000003</v>
      </c>
      <c r="EO23">
        <v>5.0592720399999997</v>
      </c>
      <c r="EP23">
        <v>5.1483909600000004</v>
      </c>
      <c r="EQ23">
        <v>5.1679999099999998</v>
      </c>
      <c r="ER23">
        <v>5.3471515299999997</v>
      </c>
      <c r="ES23">
        <v>5.1856548199999999</v>
      </c>
      <c r="ET23">
        <v>5.2000387400000001</v>
      </c>
      <c r="EU23">
        <v>5.1078763499999997</v>
      </c>
      <c r="EV23">
        <v>5.3569756499999999</v>
      </c>
      <c r="EW23">
        <v>5.20514557</v>
      </c>
      <c r="EX23">
        <v>5.0966121800000002</v>
      </c>
      <c r="EY23">
        <v>5.25107619</v>
      </c>
      <c r="EZ23">
        <v>5.0521971299999997</v>
      </c>
      <c r="FA23">
        <v>5.2479600399999997</v>
      </c>
      <c r="FB23">
        <v>5.1961010099999996</v>
      </c>
      <c r="FC23">
        <v>5.1542930499999997</v>
      </c>
      <c r="FD23">
        <v>5.3108079400000001</v>
      </c>
      <c r="FE23">
        <v>5.2476852699999998</v>
      </c>
      <c r="FF23">
        <v>5.1939653699999999</v>
      </c>
      <c r="FG23">
        <v>5.15145754</v>
      </c>
      <c r="FH23">
        <v>5.0565292800000003</v>
      </c>
      <c r="FI23">
        <v>5.2942689700000001</v>
      </c>
      <c r="FJ23">
        <v>5.4108046999999999</v>
      </c>
      <c r="FK23">
        <v>5.1993534199999996</v>
      </c>
      <c r="FL23">
        <v>5.0075037099999999</v>
      </c>
      <c r="FM23">
        <v>5.06554299</v>
      </c>
      <c r="FN23">
        <v>5.2047536399999998</v>
      </c>
      <c r="FO23">
        <v>5.1420033399999996</v>
      </c>
      <c r="FP23">
        <v>5.2024591400000002</v>
      </c>
      <c r="FQ23">
        <v>5.0623093800000003</v>
      </c>
      <c r="FR23">
        <v>5.25033291</v>
      </c>
      <c r="FS23">
        <v>5.0926544299999996</v>
      </c>
      <c r="FT23">
        <v>5.2030355899999998</v>
      </c>
      <c r="FU23">
        <v>5.1514275200000004</v>
      </c>
      <c r="FV23">
        <v>4.9928397100000002</v>
      </c>
      <c r="FW23">
        <v>5.3003581500000001</v>
      </c>
      <c r="FX23">
        <v>5.2922648700000003</v>
      </c>
      <c r="FY23">
        <v>5.0761076899999997</v>
      </c>
      <c r="FZ23">
        <v>5.0340503099999996</v>
      </c>
      <c r="GA23">
        <v>4.8428111700000001</v>
      </c>
      <c r="GB23">
        <v>5.10547138</v>
      </c>
      <c r="GC23">
        <v>5.1903589200000004</v>
      </c>
      <c r="GD23">
        <v>5.2513627200000004</v>
      </c>
      <c r="GE23">
        <v>5.0523550300000002</v>
      </c>
      <c r="GF23">
        <v>5.1055909899999996</v>
      </c>
      <c r="GG23">
        <v>5.11461598</v>
      </c>
      <c r="GH23">
        <v>5.0972792199999999</v>
      </c>
      <c r="GI23">
        <v>5.2544011099999999</v>
      </c>
      <c r="GJ23">
        <v>5.1521888499999999</v>
      </c>
      <c r="GK23">
        <v>4.9749338200000004</v>
      </c>
      <c r="GL23">
        <v>5.2346209799999999</v>
      </c>
      <c r="GM23">
        <v>5.2264552499999999</v>
      </c>
      <c r="GN23">
        <v>5.1067781300000004</v>
      </c>
      <c r="GO23">
        <v>4.9583549500000004</v>
      </c>
      <c r="GP23">
        <v>5.1440950599999997</v>
      </c>
      <c r="GQ23">
        <v>5.2800313399999999</v>
      </c>
      <c r="GR23">
        <v>5.3980632999999996</v>
      </c>
      <c r="GS23">
        <v>5.04805423</v>
      </c>
      <c r="GT23">
        <v>4.5222220799999997</v>
      </c>
      <c r="GU23">
        <v>4.8651597999999998</v>
      </c>
      <c r="GV23">
        <v>5.0189027399999997</v>
      </c>
      <c r="GW23">
        <v>4.9602395499999998</v>
      </c>
      <c r="GX23">
        <v>5.1001597299999997</v>
      </c>
      <c r="GY23">
        <v>5.0561741199999997</v>
      </c>
      <c r="GZ23">
        <v>4.9570542900000003</v>
      </c>
      <c r="HA23">
        <v>5.0723282799999998</v>
      </c>
      <c r="HB23">
        <v>5.15472968</v>
      </c>
      <c r="HC23">
        <v>5.1449183100000004</v>
      </c>
      <c r="HD23">
        <v>5.1533444399999997</v>
      </c>
      <c r="HE23">
        <v>5.1960457699999996</v>
      </c>
      <c r="HF23">
        <v>5.1631046300000003</v>
      </c>
      <c r="HG23">
        <v>5.2993273800000003</v>
      </c>
      <c r="HH23">
        <v>5.0948530700000001</v>
      </c>
      <c r="HI23">
        <v>5.1531573899999996</v>
      </c>
      <c r="HJ23">
        <v>5.05264823</v>
      </c>
      <c r="HK23">
        <v>4.9660468599999996</v>
      </c>
      <c r="HL23">
        <v>5.1285560600000002</v>
      </c>
      <c r="HM23">
        <v>5.12023165</v>
      </c>
      <c r="HN23">
        <v>5.2498665200000003</v>
      </c>
      <c r="HO23">
        <v>4.9574923699999998</v>
      </c>
      <c r="HP23">
        <v>5.1449541600000002</v>
      </c>
      <c r="HQ23">
        <v>5.1270640199999997</v>
      </c>
      <c r="HR23">
        <v>5.1448694699999997</v>
      </c>
      <c r="HS23">
        <v>5.0567250499999998</v>
      </c>
      <c r="HT23">
        <v>5.1422844799999998</v>
      </c>
      <c r="HU23">
        <v>5.2751746900000001</v>
      </c>
      <c r="HV23">
        <v>5.0853664800000002</v>
      </c>
      <c r="HW23">
        <v>5.2505422599999996</v>
      </c>
      <c r="HX23">
        <v>5.2024470300000001</v>
      </c>
      <c r="HY23">
        <v>5.0648247800000004</v>
      </c>
      <c r="HZ23">
        <v>5.15212906</v>
      </c>
      <c r="IA23">
        <v>5.2421299499999998</v>
      </c>
      <c r="IB23">
        <v>5.2513406900000001</v>
      </c>
      <c r="IC23">
        <v>5.1983009999999998</v>
      </c>
      <c r="ID23">
        <v>4.9734515500000001</v>
      </c>
      <c r="IE23">
        <v>5.05474771</v>
      </c>
      <c r="IF23">
        <v>4.9533254800000002</v>
      </c>
      <c r="IG23">
        <v>5.1525514699999997</v>
      </c>
      <c r="IH23">
        <v>5.24679743</v>
      </c>
      <c r="II23">
        <v>5.0679899600000002</v>
      </c>
      <c r="IJ23">
        <v>5.29556044</v>
      </c>
      <c r="IK23">
        <v>5.0393058399999999</v>
      </c>
      <c r="IL23">
        <v>5.0164039899999997</v>
      </c>
      <c r="IM23">
        <v>5.1063372400000002</v>
      </c>
      <c r="IN23">
        <v>5.3570609500000002</v>
      </c>
      <c r="IO23">
        <v>5.2488017600000001</v>
      </c>
      <c r="IP23">
        <v>5.0469821599999998</v>
      </c>
      <c r="IQ23">
        <v>5.19259732</v>
      </c>
      <c r="IR23">
        <v>4.9611685999999997</v>
      </c>
      <c r="IS23">
        <v>5.0959464399999996</v>
      </c>
      <c r="IT23">
        <v>5.2708234599999999</v>
      </c>
      <c r="IU23">
        <v>5.2359879899999999</v>
      </c>
      <c r="IV23">
        <v>5.1990052799999997</v>
      </c>
      <c r="IW23">
        <v>5.0504467499999999</v>
      </c>
      <c r="IX23">
        <v>4.8865317399999997</v>
      </c>
      <c r="IY23">
        <v>5.1558434799999997</v>
      </c>
      <c r="IZ23">
        <v>5.1854316200000001</v>
      </c>
      <c r="JA23">
        <v>4.8623602200000002</v>
      </c>
      <c r="JB23">
        <v>5.0327172100000004</v>
      </c>
      <c r="JC23">
        <v>5.0466359399999998</v>
      </c>
      <c r="JD23">
        <v>5.12549396</v>
      </c>
      <c r="JK23" s="21"/>
      <c r="JL23" s="21"/>
      <c r="JM23" s="20"/>
      <c r="JN23" s="35"/>
      <c r="JO23" s="35"/>
      <c r="JP23" s="35"/>
      <c r="JQ23" s="41"/>
      <c r="JR23" s="35"/>
      <c r="JS23" s="35"/>
      <c r="JT23" s="35"/>
      <c r="JU23" s="35"/>
      <c r="JV23" s="35"/>
      <c r="JW23" s="35"/>
    </row>
    <row r="24" spans="1:283" ht="13.8" x14ac:dyDescent="0.3">
      <c r="A24" s="19" t="s">
        <v>11</v>
      </c>
      <c r="B24" s="18" t="s">
        <v>48</v>
      </c>
      <c r="C24" s="14">
        <v>1466</v>
      </c>
      <c r="D24" s="13">
        <v>5.5037763000000002</v>
      </c>
      <c r="E24" s="12">
        <v>5.4571391800000004</v>
      </c>
      <c r="F24">
        <v>5.4166568799999997</v>
      </c>
      <c r="G24">
        <v>5.5713301900000003</v>
      </c>
      <c r="H24">
        <v>5.5279497099999997</v>
      </c>
      <c r="I24">
        <v>5.4719428399999996</v>
      </c>
      <c r="J24">
        <v>5.5314371800000002</v>
      </c>
      <c r="K24">
        <v>5.5200948399999996</v>
      </c>
      <c r="L24">
        <v>5.4998210800000003</v>
      </c>
      <c r="M24">
        <v>5.4878716699999996</v>
      </c>
      <c r="N24">
        <v>5.4172893999999996</v>
      </c>
      <c r="O24">
        <v>5.4274232600000003</v>
      </c>
      <c r="P24">
        <v>5.4857306399999999</v>
      </c>
      <c r="Q24">
        <v>5.5088809200000002</v>
      </c>
      <c r="R24">
        <v>5.5016991600000003</v>
      </c>
      <c r="S24">
        <v>5.5856377100000003</v>
      </c>
      <c r="T24">
        <v>5.4759435700000001</v>
      </c>
      <c r="U24">
        <v>5.4413133399999998</v>
      </c>
      <c r="V24">
        <v>5.4762022899999998</v>
      </c>
      <c r="W24">
        <v>5.4352174099999999</v>
      </c>
      <c r="X24">
        <v>5.5111265700000001</v>
      </c>
      <c r="Y24">
        <v>5.5626224799999999</v>
      </c>
      <c r="Z24">
        <v>5.3531207199999997</v>
      </c>
      <c r="AA24">
        <v>5.5046858700000003</v>
      </c>
      <c r="AB24">
        <v>5.6059078400000004</v>
      </c>
      <c r="AC24">
        <v>5.3445301199999999</v>
      </c>
      <c r="AD24">
        <v>5.5284894199999997</v>
      </c>
      <c r="AE24">
        <v>5.3988945800000003</v>
      </c>
      <c r="AF24">
        <v>5.5136268099999999</v>
      </c>
      <c r="AG24">
        <v>5.5586876099999998</v>
      </c>
      <c r="AH24">
        <v>5.4450986400000003</v>
      </c>
      <c r="AI24">
        <v>5.5470470900000004</v>
      </c>
      <c r="AJ24">
        <v>5.3520510899999998</v>
      </c>
      <c r="AK24">
        <v>5.5522054799999996</v>
      </c>
      <c r="AL24">
        <v>5.5099963699999996</v>
      </c>
      <c r="AM24">
        <v>5.5062299499999998</v>
      </c>
      <c r="AN24">
        <v>5.4856575999999997</v>
      </c>
      <c r="AO24">
        <v>5.5505689800000004</v>
      </c>
      <c r="AP24">
        <v>5.4573278800000002</v>
      </c>
      <c r="AQ24">
        <v>5.4686111799999999</v>
      </c>
      <c r="AR24">
        <v>5.4558796699999998</v>
      </c>
      <c r="AS24">
        <v>5.4408667099999999</v>
      </c>
      <c r="AT24">
        <v>5.5563413700000002</v>
      </c>
      <c r="AU24">
        <v>5.5531371600000003</v>
      </c>
      <c r="AV24">
        <v>5.46748397</v>
      </c>
      <c r="AW24">
        <v>5.5050553600000001</v>
      </c>
      <c r="AX24">
        <v>5.5423374699999997</v>
      </c>
      <c r="AY24">
        <v>5.4046480600000004</v>
      </c>
      <c r="AZ24">
        <v>5.4960885099999999</v>
      </c>
      <c r="BA24">
        <v>5.4569369300000004</v>
      </c>
      <c r="BB24">
        <v>5.4499131099999998</v>
      </c>
      <c r="BC24">
        <v>5.5720500299999998</v>
      </c>
      <c r="BD24">
        <v>5.6181591099999997</v>
      </c>
      <c r="BE24">
        <v>5.4835912699999998</v>
      </c>
      <c r="BF24">
        <v>5.4944261000000001</v>
      </c>
      <c r="BG24">
        <v>5.59031769</v>
      </c>
      <c r="BH24">
        <v>5.4760107199999997</v>
      </c>
      <c r="BI24">
        <v>5.4920321999999997</v>
      </c>
      <c r="BJ24">
        <v>5.5582423099999998</v>
      </c>
      <c r="BK24">
        <v>5.5514132099999998</v>
      </c>
      <c r="BL24">
        <v>5.6697442799999997</v>
      </c>
      <c r="BM24">
        <v>5.4787347500000001</v>
      </c>
      <c r="BN24">
        <v>5.5621656100000001</v>
      </c>
      <c r="BO24">
        <v>5.4534860700000003</v>
      </c>
      <c r="BP24">
        <v>5.5166979100000004</v>
      </c>
      <c r="BQ24">
        <v>5.4640654399999997</v>
      </c>
      <c r="BR24">
        <v>5.4911790299999996</v>
      </c>
      <c r="BS24">
        <v>5.5048556599999996</v>
      </c>
      <c r="BT24">
        <v>5.4814118599999997</v>
      </c>
      <c r="BU24">
        <v>5.52919245</v>
      </c>
      <c r="BV24">
        <v>5.6060624399999996</v>
      </c>
      <c r="BW24">
        <v>5.4458119700000003</v>
      </c>
      <c r="BX24">
        <v>5.5491682500000001</v>
      </c>
      <c r="BY24">
        <v>5.6146221000000001</v>
      </c>
      <c r="BZ24">
        <v>5.5529786000000003</v>
      </c>
      <c r="CA24">
        <v>5.4819222300000003</v>
      </c>
      <c r="CB24">
        <v>5.4558298399999998</v>
      </c>
      <c r="CC24">
        <v>5.5666258800000001</v>
      </c>
      <c r="CD24">
        <v>5.3615279100000004</v>
      </c>
      <c r="CE24">
        <v>5.6841108199999999</v>
      </c>
      <c r="CF24">
        <v>5.5461527500000001</v>
      </c>
      <c r="CG24">
        <v>5.5480687499999997</v>
      </c>
      <c r="CH24">
        <v>5.5672820999999999</v>
      </c>
      <c r="CI24">
        <v>5.4110888800000003</v>
      </c>
      <c r="CJ24">
        <v>5.3965862900000001</v>
      </c>
      <c r="CK24">
        <v>5.5059902899999997</v>
      </c>
      <c r="CL24">
        <v>5.5034645800000002</v>
      </c>
      <c r="CM24">
        <v>5.5157131000000001</v>
      </c>
      <c r="CN24">
        <v>5.5834463000000003</v>
      </c>
      <c r="CO24">
        <v>5.5599780499999998</v>
      </c>
      <c r="CP24">
        <v>5.5478261099999999</v>
      </c>
      <c r="CQ24">
        <v>5.4702106700000002</v>
      </c>
      <c r="CR24">
        <v>5.5040235400000004</v>
      </c>
      <c r="CS24">
        <v>5.7372598799999999</v>
      </c>
      <c r="CT24">
        <v>5.4529124500000004</v>
      </c>
      <c r="CU24">
        <v>5.5478481500000001</v>
      </c>
      <c r="CV24">
        <v>5.48540384</v>
      </c>
      <c r="CW24">
        <v>5.4816345200000001</v>
      </c>
      <c r="CX24">
        <v>5.5356495199999998</v>
      </c>
      <c r="CY24">
        <v>5.5977380500000002</v>
      </c>
      <c r="CZ24">
        <v>5.4532439699999999</v>
      </c>
      <c r="DA24">
        <v>5.4335347599999997</v>
      </c>
      <c r="DB24">
        <v>5.5279184299999997</v>
      </c>
      <c r="DC24">
        <v>5.3410613099999997</v>
      </c>
      <c r="DD24">
        <v>5.4833957599999996</v>
      </c>
      <c r="DE24">
        <v>5.3045902900000002</v>
      </c>
      <c r="DF24">
        <v>5.5947501900000001</v>
      </c>
      <c r="DG24">
        <v>5.5037763000000002</v>
      </c>
      <c r="DH24">
        <v>5.5037763000000002</v>
      </c>
      <c r="DI24">
        <v>5.5037763000000002</v>
      </c>
      <c r="DJ24">
        <v>5.5037763000000002</v>
      </c>
      <c r="DK24">
        <v>5.4896692700000003</v>
      </c>
      <c r="DL24">
        <v>5.4418442300000001</v>
      </c>
      <c r="DM24">
        <v>5.4116498100000001</v>
      </c>
      <c r="DN24">
        <v>5.62363722</v>
      </c>
      <c r="DO24">
        <v>5.6437341300000003</v>
      </c>
      <c r="DP24">
        <v>5.6602698299999998</v>
      </c>
      <c r="DQ24">
        <v>5.3338816400000004</v>
      </c>
      <c r="DR24">
        <v>5.6713027399999998</v>
      </c>
      <c r="DS24">
        <v>5.6510175299999998</v>
      </c>
      <c r="DT24">
        <v>5.4493529599999997</v>
      </c>
      <c r="DU24">
        <v>5.56874409</v>
      </c>
      <c r="DV24">
        <v>5.4996948699999999</v>
      </c>
      <c r="DW24">
        <v>5.4839871100000002</v>
      </c>
      <c r="DX24">
        <v>5.4625907900000001</v>
      </c>
      <c r="DY24">
        <v>5.6620399299999997</v>
      </c>
      <c r="DZ24">
        <v>5.6479311499999998</v>
      </c>
      <c r="EA24">
        <v>5.5833600099999998</v>
      </c>
      <c r="EB24">
        <v>5.49972102</v>
      </c>
      <c r="EC24">
        <v>5.5034946199999997</v>
      </c>
      <c r="ED24">
        <v>5.51135339</v>
      </c>
      <c r="EE24">
        <v>5.4753811499999996</v>
      </c>
      <c r="EF24">
        <v>5.4540001599999997</v>
      </c>
      <c r="EG24">
        <v>5.5184876100000002</v>
      </c>
      <c r="EH24">
        <v>5.4471634399999997</v>
      </c>
      <c r="EI24">
        <v>5.3291653500000002</v>
      </c>
      <c r="EJ24">
        <v>5.3653162500000002</v>
      </c>
      <c r="EK24">
        <v>5.5810118199999996</v>
      </c>
      <c r="EL24">
        <v>5.4535999500000001</v>
      </c>
      <c r="EM24">
        <v>5.6977354</v>
      </c>
      <c r="EN24">
        <v>5.67265584</v>
      </c>
      <c r="EO24">
        <v>5.5706345300000004</v>
      </c>
      <c r="EP24">
        <v>5.4400177200000002</v>
      </c>
      <c r="EQ24">
        <v>5.5724661199999996</v>
      </c>
      <c r="ER24">
        <v>5.5976256299999996</v>
      </c>
      <c r="ES24">
        <v>5.5290266099999998</v>
      </c>
      <c r="ET24">
        <v>5.5512949899999997</v>
      </c>
      <c r="EU24">
        <v>5.50931675</v>
      </c>
      <c r="EV24">
        <v>5.6618308300000004</v>
      </c>
      <c r="EW24">
        <v>5.5563817499999999</v>
      </c>
      <c r="EX24">
        <v>5.4976191300000004</v>
      </c>
      <c r="EY24">
        <v>5.5002973700000002</v>
      </c>
      <c r="EZ24">
        <v>5.4058899499999997</v>
      </c>
      <c r="FA24">
        <v>5.5355068599999999</v>
      </c>
      <c r="FB24">
        <v>5.4945741999999997</v>
      </c>
      <c r="FC24">
        <v>5.5039915800000001</v>
      </c>
      <c r="FD24">
        <v>5.6170320399999998</v>
      </c>
      <c r="FE24">
        <v>5.6044090000000004</v>
      </c>
      <c r="FF24">
        <v>5.5333976099999997</v>
      </c>
      <c r="FG24">
        <v>5.5020111700000003</v>
      </c>
      <c r="FH24">
        <v>5.3526248499999998</v>
      </c>
      <c r="FI24">
        <v>5.6575283199999999</v>
      </c>
      <c r="FJ24">
        <v>5.72023627</v>
      </c>
      <c r="FK24">
        <v>5.5907928499999997</v>
      </c>
      <c r="FL24">
        <v>5.50822726</v>
      </c>
      <c r="FM24">
        <v>5.4256258099999997</v>
      </c>
      <c r="FN24">
        <v>5.6116986400000002</v>
      </c>
      <c r="FO24">
        <v>5.4792481500000001</v>
      </c>
      <c r="FP24">
        <v>5.5539388499999998</v>
      </c>
      <c r="FQ24">
        <v>5.4210234000000002</v>
      </c>
      <c r="FR24">
        <v>5.6543186700000003</v>
      </c>
      <c r="FS24">
        <v>5.3814392700000004</v>
      </c>
      <c r="FT24">
        <v>5.5035972700000002</v>
      </c>
      <c r="FU24">
        <v>5.4995222200000002</v>
      </c>
      <c r="FV24">
        <v>5.3502231499999997</v>
      </c>
      <c r="FW24">
        <v>5.7074081000000003</v>
      </c>
      <c r="FX24">
        <v>5.7392135299999998</v>
      </c>
      <c r="FY24">
        <v>5.4286638199999997</v>
      </c>
      <c r="FZ24">
        <v>5.3570511999999999</v>
      </c>
      <c r="GA24">
        <v>5.1687985699999999</v>
      </c>
      <c r="GB24">
        <v>5.5097138599999997</v>
      </c>
      <c r="GC24">
        <v>5.4814327699999996</v>
      </c>
      <c r="GD24">
        <v>5.6030350000000002</v>
      </c>
      <c r="GE24">
        <v>5.3481814400000003</v>
      </c>
      <c r="GF24">
        <v>5.4621868400000002</v>
      </c>
      <c r="GG24">
        <v>5.4706647899999998</v>
      </c>
      <c r="GH24">
        <v>5.4398061599999998</v>
      </c>
      <c r="GI24">
        <v>5.5564402700000004</v>
      </c>
      <c r="GJ24">
        <v>5.5303996599999996</v>
      </c>
      <c r="GK24">
        <v>5.2629807399999997</v>
      </c>
      <c r="GL24">
        <v>5.7148303800000004</v>
      </c>
      <c r="GM24">
        <v>5.5782083699999996</v>
      </c>
      <c r="GN24">
        <v>5.4652029999999998</v>
      </c>
      <c r="GO24">
        <v>5.4124799599999998</v>
      </c>
      <c r="GP24">
        <v>5.4338840599999996</v>
      </c>
      <c r="GQ24">
        <v>5.5315742600000002</v>
      </c>
      <c r="GR24">
        <v>5.7555274000000001</v>
      </c>
      <c r="GS24">
        <v>5.54795528</v>
      </c>
      <c r="GT24">
        <v>5.0801003099999997</v>
      </c>
      <c r="GU24">
        <v>5.3198549000000002</v>
      </c>
      <c r="GV24">
        <v>5.4229487000000001</v>
      </c>
      <c r="GW24">
        <v>5.3112232099999996</v>
      </c>
      <c r="GX24">
        <v>5.3443860699999997</v>
      </c>
      <c r="GY24">
        <v>5.5600383999999998</v>
      </c>
      <c r="GZ24">
        <v>5.3599483599999997</v>
      </c>
      <c r="HA24">
        <v>5.4222699099999998</v>
      </c>
      <c r="HB24">
        <v>5.5062429399999999</v>
      </c>
      <c r="HC24">
        <v>5.5182875500000002</v>
      </c>
      <c r="HD24">
        <v>5.5309141100000003</v>
      </c>
      <c r="HE24">
        <v>5.4957758700000001</v>
      </c>
      <c r="HF24">
        <v>5.5655418499999998</v>
      </c>
      <c r="HG24">
        <v>5.6777221300000003</v>
      </c>
      <c r="HH24">
        <v>5.4175829200000001</v>
      </c>
      <c r="HI24">
        <v>5.5041323699999998</v>
      </c>
      <c r="HJ24">
        <v>5.40398946</v>
      </c>
      <c r="HK24">
        <v>5.3177967099999996</v>
      </c>
      <c r="HL24">
        <v>5.5066365800000003</v>
      </c>
      <c r="HM24">
        <v>5.4434851899999996</v>
      </c>
      <c r="HN24">
        <v>5.6010008200000003</v>
      </c>
      <c r="HO24">
        <v>5.3079513499999997</v>
      </c>
      <c r="HP24">
        <v>5.4683420099999998</v>
      </c>
      <c r="HQ24">
        <v>5.5049631300000001</v>
      </c>
      <c r="HR24">
        <v>5.5460411599999997</v>
      </c>
      <c r="HS24">
        <v>5.3020243899999997</v>
      </c>
      <c r="HT24">
        <v>5.5472179500000003</v>
      </c>
      <c r="HU24">
        <v>5.5712389</v>
      </c>
      <c r="HV24">
        <v>5.4356880500000004</v>
      </c>
      <c r="HW24">
        <v>5.6015879200000001</v>
      </c>
      <c r="HX24">
        <v>5.5530842800000002</v>
      </c>
      <c r="HY24">
        <v>5.4162128899999997</v>
      </c>
      <c r="HZ24">
        <v>5.4782394700000001</v>
      </c>
      <c r="IA24">
        <v>5.5642521699999996</v>
      </c>
      <c r="IB24">
        <v>5.65468685</v>
      </c>
      <c r="IC24">
        <v>5.5763654899999997</v>
      </c>
      <c r="ID24">
        <v>5.2455674500000002</v>
      </c>
      <c r="IE24">
        <v>5.4574273800000004</v>
      </c>
      <c r="IF24">
        <v>5.3526297700000001</v>
      </c>
      <c r="IG24">
        <v>5.4498448699999997</v>
      </c>
      <c r="IH24">
        <v>5.5984636700000001</v>
      </c>
      <c r="II24">
        <v>5.4187659899999998</v>
      </c>
      <c r="IJ24">
        <v>5.5448357699999997</v>
      </c>
      <c r="IK24">
        <v>5.3871887699999998</v>
      </c>
      <c r="IL24">
        <v>5.3645870999999996</v>
      </c>
      <c r="IM24">
        <v>5.5090429700000003</v>
      </c>
      <c r="IN24">
        <v>5.7102396400000002</v>
      </c>
      <c r="IO24">
        <v>5.60251447</v>
      </c>
      <c r="IP24">
        <v>5.3941847899999997</v>
      </c>
      <c r="IQ24">
        <v>5.5442765300000003</v>
      </c>
      <c r="IR24">
        <v>5.36440115</v>
      </c>
      <c r="IS24">
        <v>5.5015433099999997</v>
      </c>
      <c r="IT24">
        <v>5.5649298500000004</v>
      </c>
      <c r="IU24">
        <v>5.48411179</v>
      </c>
      <c r="IV24">
        <v>5.6031298999999999</v>
      </c>
      <c r="IW24">
        <v>5.4037038700000002</v>
      </c>
      <c r="IX24">
        <v>5.4953800700000004</v>
      </c>
      <c r="IY24">
        <v>5.50831537</v>
      </c>
      <c r="IZ24">
        <v>5.5896386800000002</v>
      </c>
      <c r="JA24">
        <v>5.2146741800000003</v>
      </c>
      <c r="JB24">
        <v>5.3768252099999998</v>
      </c>
      <c r="JC24">
        <v>5.3999705799999997</v>
      </c>
      <c r="JD24">
        <v>5.4235175</v>
      </c>
      <c r="JK24" s="21"/>
      <c r="JL24" s="21"/>
      <c r="JM24" s="20"/>
      <c r="JN24" s="35"/>
      <c r="JO24" s="35"/>
      <c r="JP24" s="35"/>
      <c r="JQ24" s="41"/>
      <c r="JR24" s="35"/>
      <c r="JS24" s="35"/>
      <c r="JT24" s="35"/>
      <c r="JU24" s="35"/>
      <c r="JV24" s="35"/>
      <c r="JW24" s="35"/>
    </row>
    <row r="25" spans="1:283" ht="13.8" x14ac:dyDescent="0.3">
      <c r="A25" s="19" t="s">
        <v>11</v>
      </c>
      <c r="B25" s="18" t="s">
        <v>48</v>
      </c>
      <c r="C25" s="14">
        <v>1830</v>
      </c>
      <c r="D25" s="13">
        <v>5.6946137400000003</v>
      </c>
      <c r="E25" s="12">
        <v>5.6472183300000003</v>
      </c>
      <c r="F25">
        <v>5.63810418</v>
      </c>
      <c r="G25">
        <v>5.6821279799999997</v>
      </c>
      <c r="H25">
        <v>5.6383262399999996</v>
      </c>
      <c r="I25">
        <v>5.7132626499999999</v>
      </c>
      <c r="J25">
        <v>5.6955219899999996</v>
      </c>
      <c r="K25">
        <v>5.7933610800000004</v>
      </c>
      <c r="L25">
        <v>5.7448148899999998</v>
      </c>
      <c r="M25">
        <v>5.6504487499999998</v>
      </c>
      <c r="N25">
        <v>5.6100351899999996</v>
      </c>
      <c r="O25">
        <v>5.6922765399999999</v>
      </c>
      <c r="P25">
        <v>5.6823767399999996</v>
      </c>
      <c r="Q25">
        <v>5.6452281400000004</v>
      </c>
      <c r="R25">
        <v>5.6928876400000004</v>
      </c>
      <c r="S25">
        <v>5.7462680300000004</v>
      </c>
      <c r="T25">
        <v>5.6932509900000001</v>
      </c>
      <c r="U25">
        <v>5.6366369900000004</v>
      </c>
      <c r="V25">
        <v>5.6404644900000003</v>
      </c>
      <c r="W25">
        <v>5.6525382799999999</v>
      </c>
      <c r="X25">
        <v>5.69751881</v>
      </c>
      <c r="Y25">
        <v>5.7528622699999996</v>
      </c>
      <c r="Z25">
        <v>5.6005924699999996</v>
      </c>
      <c r="AA25">
        <v>5.6953505</v>
      </c>
      <c r="AB25">
        <v>5.7963631800000002</v>
      </c>
      <c r="AC25">
        <v>5.48335784</v>
      </c>
      <c r="AD25">
        <v>5.7143000600000002</v>
      </c>
      <c r="AE25">
        <v>5.59238648</v>
      </c>
      <c r="AF25">
        <v>5.7030538200000001</v>
      </c>
      <c r="AG25">
        <v>5.7477038900000004</v>
      </c>
      <c r="AH25">
        <v>5.6369599499999996</v>
      </c>
      <c r="AI25">
        <v>5.6859282799999997</v>
      </c>
      <c r="AJ25">
        <v>5.59735154</v>
      </c>
      <c r="AK25">
        <v>5.7431931900000004</v>
      </c>
      <c r="AL25">
        <v>5.6976624999999999</v>
      </c>
      <c r="AM25">
        <v>5.6966870900000002</v>
      </c>
      <c r="AN25">
        <v>5.6273493600000002</v>
      </c>
      <c r="AO25">
        <v>5.6874137999999999</v>
      </c>
      <c r="AP25">
        <v>5.6476323600000002</v>
      </c>
      <c r="AQ25">
        <v>5.6559184599999996</v>
      </c>
      <c r="AR25">
        <v>5.6462765499999996</v>
      </c>
      <c r="AS25">
        <v>5.5796274500000003</v>
      </c>
      <c r="AT25">
        <v>5.7471953400000002</v>
      </c>
      <c r="AU25">
        <v>5.7441150299999997</v>
      </c>
      <c r="AV25">
        <v>5.6542933599999996</v>
      </c>
      <c r="AW25">
        <v>5.6955979299999999</v>
      </c>
      <c r="AX25">
        <v>5.68311937</v>
      </c>
      <c r="AY25">
        <v>5.7019679400000003</v>
      </c>
      <c r="AZ25">
        <v>5.69038121</v>
      </c>
      <c r="BA25">
        <v>5.6472930799999999</v>
      </c>
      <c r="BB25">
        <v>5.6410094500000003</v>
      </c>
      <c r="BC25">
        <v>5.7596330499999997</v>
      </c>
      <c r="BD25">
        <v>5.6994794999999998</v>
      </c>
      <c r="BE25">
        <v>5.6770666099999998</v>
      </c>
      <c r="BF25">
        <v>5.6858199100000002</v>
      </c>
      <c r="BG25">
        <v>5.6981290700000002</v>
      </c>
      <c r="BH25">
        <v>5.8023166899999996</v>
      </c>
      <c r="BI25">
        <v>5.7402698900000004</v>
      </c>
      <c r="BJ25">
        <v>5.74871892</v>
      </c>
      <c r="BK25">
        <v>5.7425981400000001</v>
      </c>
      <c r="BL25">
        <v>5.8040382800000003</v>
      </c>
      <c r="BM25">
        <v>5.7268587699999998</v>
      </c>
      <c r="BN25">
        <v>5.7526875400000002</v>
      </c>
      <c r="BO25">
        <v>5.6985946199999997</v>
      </c>
      <c r="BP25">
        <v>5.7043150499999999</v>
      </c>
      <c r="BQ25">
        <v>5.6548126099999996</v>
      </c>
      <c r="BR25">
        <v>5.6840180800000004</v>
      </c>
      <c r="BS25">
        <v>5.6955090799999999</v>
      </c>
      <c r="BT25">
        <v>5.6449653599999996</v>
      </c>
      <c r="BU25">
        <v>5.7456510300000003</v>
      </c>
      <c r="BV25">
        <v>5.7431856999999997</v>
      </c>
      <c r="BW25">
        <v>5.6390546800000001</v>
      </c>
      <c r="BX25">
        <v>5.7943159299999998</v>
      </c>
      <c r="BY25">
        <v>5.7497076099999997</v>
      </c>
      <c r="BZ25">
        <v>5.7421321900000004</v>
      </c>
      <c r="CA25">
        <v>5.6776827000000001</v>
      </c>
      <c r="CB25">
        <v>5.6463446800000003</v>
      </c>
      <c r="CC25">
        <v>5.7013662600000004</v>
      </c>
      <c r="CD25">
        <v>5.6039972699999998</v>
      </c>
      <c r="CE25">
        <v>5.8257297799999996</v>
      </c>
      <c r="CF25">
        <v>5.7377863199999997</v>
      </c>
      <c r="CG25">
        <v>5.6853914300000001</v>
      </c>
      <c r="CH25">
        <v>5.8092528200000002</v>
      </c>
      <c r="CI25">
        <v>5.6546400800000001</v>
      </c>
      <c r="CJ25">
        <v>5.6436695200000004</v>
      </c>
      <c r="CK25">
        <v>5.6968286099999998</v>
      </c>
      <c r="CL25">
        <v>5.6941511800000004</v>
      </c>
      <c r="CM25">
        <v>5.7060564200000004</v>
      </c>
      <c r="CN25">
        <v>5.74641438</v>
      </c>
      <c r="CO25">
        <v>5.6712982600000004</v>
      </c>
      <c r="CP25">
        <v>5.73956701</v>
      </c>
      <c r="CQ25">
        <v>5.7114404299999997</v>
      </c>
      <c r="CR25">
        <v>5.69446809</v>
      </c>
      <c r="CS25">
        <v>5.8779714299999997</v>
      </c>
      <c r="CT25">
        <v>5.6441909800000003</v>
      </c>
      <c r="CU25">
        <v>5.6854963100000004</v>
      </c>
      <c r="CV25">
        <v>5.6260651700000004</v>
      </c>
      <c r="CW25">
        <v>5.69307096</v>
      </c>
      <c r="CX25">
        <v>5.7017643600000003</v>
      </c>
      <c r="CY25">
        <v>5.7896973799999998</v>
      </c>
      <c r="CZ25">
        <v>5.5903270999999997</v>
      </c>
      <c r="DA25">
        <v>5.6482561000000002</v>
      </c>
      <c r="DB25">
        <v>5.6908785200000001</v>
      </c>
      <c r="DC25">
        <v>5.5346449199999999</v>
      </c>
      <c r="DD25">
        <v>5.6737641400000003</v>
      </c>
      <c r="DE25">
        <v>5.4390350200000004</v>
      </c>
      <c r="DF25">
        <v>5.7312293700000003</v>
      </c>
      <c r="DG25">
        <v>5.6946137400000003</v>
      </c>
      <c r="DH25">
        <v>5.6946137400000003</v>
      </c>
      <c r="DI25">
        <v>5.6946137400000003</v>
      </c>
      <c r="DJ25">
        <v>5.6946137400000003</v>
      </c>
      <c r="DK25">
        <v>5.6829793000000004</v>
      </c>
      <c r="DL25">
        <v>5.6248345999999998</v>
      </c>
      <c r="DM25">
        <v>5.6060561299999998</v>
      </c>
      <c r="DN25">
        <v>5.7609621999999998</v>
      </c>
      <c r="DO25">
        <v>5.8356042099999996</v>
      </c>
      <c r="DP25">
        <v>5.74118073</v>
      </c>
      <c r="DQ25">
        <v>5.5208469500000001</v>
      </c>
      <c r="DR25">
        <v>5.7579807399999998</v>
      </c>
      <c r="DS25">
        <v>5.8441603300000002</v>
      </c>
      <c r="DT25">
        <v>5.6944967399999999</v>
      </c>
      <c r="DU25">
        <v>5.6750569300000002</v>
      </c>
      <c r="DV25">
        <v>5.7147339400000003</v>
      </c>
      <c r="DW25">
        <v>5.6805913500000003</v>
      </c>
      <c r="DX25">
        <v>5.65242413</v>
      </c>
      <c r="DY25">
        <v>5.8541716299999997</v>
      </c>
      <c r="DZ25">
        <v>5.8360182299999996</v>
      </c>
      <c r="EA25">
        <v>5.7262583400000002</v>
      </c>
      <c r="EB25">
        <v>5.7450531500000004</v>
      </c>
      <c r="EC25">
        <v>5.6943879600000002</v>
      </c>
      <c r="ED25">
        <v>5.6981404199999997</v>
      </c>
      <c r="EE25">
        <v>5.67017814</v>
      </c>
      <c r="EF25">
        <v>5.6465071099999999</v>
      </c>
      <c r="EG25">
        <v>5.7065124799999998</v>
      </c>
      <c r="EH25">
        <v>5.6376579299999996</v>
      </c>
      <c r="EI25">
        <v>5.5145804900000002</v>
      </c>
      <c r="EJ25">
        <v>5.5513322399999998</v>
      </c>
      <c r="EK25">
        <v>5.7796029100000004</v>
      </c>
      <c r="EL25">
        <v>5.6434700800000002</v>
      </c>
      <c r="EM25">
        <v>5.8906202099999998</v>
      </c>
      <c r="EN25">
        <v>5.8618976199999997</v>
      </c>
      <c r="EO25">
        <v>5.8157815299999998</v>
      </c>
      <c r="EP25">
        <v>5.6345535599999996</v>
      </c>
      <c r="EQ25">
        <v>5.7638324299999999</v>
      </c>
      <c r="ER25">
        <v>5.7314248799999996</v>
      </c>
      <c r="ES25">
        <v>5.6696375899999998</v>
      </c>
      <c r="ET25">
        <v>5.7428001799999997</v>
      </c>
      <c r="EU25">
        <v>5.7004578500000003</v>
      </c>
      <c r="EV25">
        <v>5.7968119299999996</v>
      </c>
      <c r="EW25">
        <v>5.7533044899999997</v>
      </c>
      <c r="EX25">
        <v>5.6865078899999997</v>
      </c>
      <c r="EY25">
        <v>5.6868331300000001</v>
      </c>
      <c r="EZ25">
        <v>5.5926832199999996</v>
      </c>
      <c r="FA25">
        <v>5.5673032999999998</v>
      </c>
      <c r="FB25">
        <v>5.6846583400000004</v>
      </c>
      <c r="FC25">
        <v>5.6948106599999999</v>
      </c>
      <c r="FD25">
        <v>5.7515661800000002</v>
      </c>
      <c r="FE25">
        <v>5.7945775599999996</v>
      </c>
      <c r="FF25">
        <v>5.6757401400000003</v>
      </c>
      <c r="FG25">
        <v>5.6931278399999998</v>
      </c>
      <c r="FH25">
        <v>5.5402531599999998</v>
      </c>
      <c r="FI25">
        <v>5.84977547</v>
      </c>
      <c r="FJ25">
        <v>6.0171972399999998</v>
      </c>
      <c r="FK25">
        <v>5.7371927700000001</v>
      </c>
      <c r="FL25">
        <v>5.7010517900000002</v>
      </c>
      <c r="FM25">
        <v>5.6136255500000001</v>
      </c>
      <c r="FN25">
        <v>5.8033495100000003</v>
      </c>
      <c r="FO25">
        <v>5.6733642599999996</v>
      </c>
      <c r="FP25">
        <v>5.8002298100000003</v>
      </c>
      <c r="FQ25">
        <v>5.6623481900000003</v>
      </c>
      <c r="FR25">
        <v>5.7921598799999998</v>
      </c>
      <c r="FS25">
        <v>5.5737287599999998</v>
      </c>
      <c r="FT25">
        <v>5.7482011499999999</v>
      </c>
      <c r="FU25">
        <v>5.5810905999999996</v>
      </c>
      <c r="FV25">
        <v>5.6448625799999999</v>
      </c>
      <c r="FW25">
        <v>5.9000633999999996</v>
      </c>
      <c r="FX25">
        <v>5.9397524099999996</v>
      </c>
      <c r="FY25">
        <v>5.7265156199999998</v>
      </c>
      <c r="FZ25">
        <v>5.5728198500000001</v>
      </c>
      <c r="GA25">
        <v>5.3250095100000001</v>
      </c>
      <c r="GB25">
        <v>5.6452490199999996</v>
      </c>
      <c r="GC25">
        <v>5.6759423900000003</v>
      </c>
      <c r="GD25">
        <v>5.79529447</v>
      </c>
      <c r="GE25">
        <v>5.5090809299999997</v>
      </c>
      <c r="GF25">
        <v>5.5692321900000001</v>
      </c>
      <c r="GG25">
        <v>5.6575710499999996</v>
      </c>
      <c r="GH25">
        <v>5.6893304599999999</v>
      </c>
      <c r="GI25">
        <v>5.68971508</v>
      </c>
      <c r="GJ25">
        <v>5.7189594100000001</v>
      </c>
      <c r="GK25">
        <v>5.4826242799999996</v>
      </c>
      <c r="GL25">
        <v>5.8273358799999997</v>
      </c>
      <c r="GM25">
        <v>5.8250856200000003</v>
      </c>
      <c r="GN25">
        <v>5.6813390300000002</v>
      </c>
      <c r="GO25">
        <v>5.5746272699999997</v>
      </c>
      <c r="GP25">
        <v>5.6521883199999996</v>
      </c>
      <c r="GQ25">
        <v>5.6681807099999997</v>
      </c>
      <c r="GR25">
        <v>5.86501962</v>
      </c>
      <c r="GS25">
        <v>5.90658437</v>
      </c>
      <c r="GT25">
        <v>5.5391650200000004</v>
      </c>
      <c r="GU25">
        <v>5.6722541599999996</v>
      </c>
      <c r="GV25">
        <v>5.6381421500000002</v>
      </c>
      <c r="GW25">
        <v>5.5264504600000004</v>
      </c>
      <c r="GX25">
        <v>5.6992994000000001</v>
      </c>
      <c r="GY25">
        <v>5.5892621</v>
      </c>
      <c r="GZ25">
        <v>5.6038645699999998</v>
      </c>
      <c r="HA25">
        <v>5.6106045499999997</v>
      </c>
      <c r="HB25">
        <v>5.69587573</v>
      </c>
      <c r="HC25">
        <v>5.6565919300000003</v>
      </c>
      <c r="HD25">
        <v>5.77675553</v>
      </c>
      <c r="HE25">
        <v>5.6872707399999998</v>
      </c>
      <c r="HF25">
        <v>5.70214438</v>
      </c>
      <c r="HG25">
        <v>5.8960186600000002</v>
      </c>
      <c r="HH25">
        <v>5.5821528899999997</v>
      </c>
      <c r="HI25">
        <v>5.6949342200000004</v>
      </c>
      <c r="HJ25">
        <v>5.6483748699999996</v>
      </c>
      <c r="HK25">
        <v>5.56042857</v>
      </c>
      <c r="HL25">
        <v>5.75028088</v>
      </c>
      <c r="HM25">
        <v>5.6362986499999996</v>
      </c>
      <c r="HN25">
        <v>5.7925251199999996</v>
      </c>
      <c r="HO25">
        <v>5.5249483499999998</v>
      </c>
      <c r="HP25">
        <v>5.6293115800000004</v>
      </c>
      <c r="HQ25">
        <v>5.69483462</v>
      </c>
      <c r="HR25">
        <v>5.7389146899999997</v>
      </c>
      <c r="HS25">
        <v>5.4908716000000002</v>
      </c>
      <c r="HT25">
        <v>5.6856332900000002</v>
      </c>
      <c r="HU25">
        <v>5.7055543499999999</v>
      </c>
      <c r="HV25">
        <v>5.6272949199999998</v>
      </c>
      <c r="HW25">
        <v>5.7932110699999999</v>
      </c>
      <c r="HX25">
        <v>5.7438611399999999</v>
      </c>
      <c r="HY25">
        <v>5.6055747900000004</v>
      </c>
      <c r="HZ25">
        <v>5.6675982899999999</v>
      </c>
      <c r="IA25">
        <v>5.7580872899999997</v>
      </c>
      <c r="IB25">
        <v>5.8470379599999998</v>
      </c>
      <c r="IC25">
        <v>5.79527152</v>
      </c>
      <c r="ID25">
        <v>5.4587889299999999</v>
      </c>
      <c r="IE25">
        <v>5.5931172499999997</v>
      </c>
      <c r="IF25">
        <v>5.5432579300000002</v>
      </c>
      <c r="IG25">
        <v>5.5851158600000002</v>
      </c>
      <c r="IH25">
        <v>5.7905026900000003</v>
      </c>
      <c r="II25">
        <v>5.60768691</v>
      </c>
      <c r="IJ25">
        <v>5.7341546599999997</v>
      </c>
      <c r="IK25">
        <v>5.5804205900000001</v>
      </c>
      <c r="IL25">
        <v>5.5537344099999997</v>
      </c>
      <c r="IM25">
        <v>5.6996979300000001</v>
      </c>
      <c r="IN25">
        <v>5.9016024199999997</v>
      </c>
      <c r="IO25">
        <v>5.8471905700000004</v>
      </c>
      <c r="IP25">
        <v>5.5869914999999999</v>
      </c>
      <c r="IQ25">
        <v>5.6814466399999999</v>
      </c>
      <c r="IR25">
        <v>5.6092412600000001</v>
      </c>
      <c r="IS25">
        <v>5.6974076699999996</v>
      </c>
      <c r="IT25">
        <v>5.7522695099999996</v>
      </c>
      <c r="IU25">
        <v>5.7293754899999998</v>
      </c>
      <c r="IV25">
        <v>5.7952424499999999</v>
      </c>
      <c r="IW25">
        <v>5.7034703000000002</v>
      </c>
      <c r="IX25">
        <v>5.6829633800000003</v>
      </c>
      <c r="IY25">
        <v>5.8062128299999998</v>
      </c>
      <c r="IZ25">
        <v>5.7295577199999999</v>
      </c>
      <c r="JA25">
        <v>5.5119438000000001</v>
      </c>
      <c r="JB25">
        <v>5.5115225499999996</v>
      </c>
      <c r="JC25">
        <v>5.5903555000000003</v>
      </c>
      <c r="JD25">
        <v>5.6421598199999998</v>
      </c>
      <c r="JK25" s="21"/>
      <c r="JL25" s="21"/>
      <c r="JM25" s="20"/>
      <c r="JN25" s="35"/>
      <c r="JO25" s="35"/>
      <c r="JP25" s="35"/>
      <c r="JQ25" s="41"/>
      <c r="JR25" s="35"/>
      <c r="JS25" s="35"/>
      <c r="JT25" s="35"/>
      <c r="JU25" s="35"/>
      <c r="JV25" s="35"/>
      <c r="JW25" s="35"/>
    </row>
    <row r="26" spans="1:283" ht="13.8" x14ac:dyDescent="0.3">
      <c r="A26" s="19" t="s">
        <v>11</v>
      </c>
      <c r="B26" s="18" t="s">
        <v>48</v>
      </c>
      <c r="C26" s="14">
        <v>2560</v>
      </c>
      <c r="D26" s="13">
        <v>5.8585720099999996</v>
      </c>
      <c r="E26" s="12">
        <v>5.8102358599999997</v>
      </c>
      <c r="F26">
        <v>5.8049170800000001</v>
      </c>
      <c r="G26">
        <v>5.8488339900000001</v>
      </c>
      <c r="H26">
        <v>5.8607518599999997</v>
      </c>
      <c r="I26">
        <v>5.8148405399999996</v>
      </c>
      <c r="J26">
        <v>5.8582896</v>
      </c>
      <c r="K26">
        <v>5.9592740500000003</v>
      </c>
      <c r="L26">
        <v>5.9088786799999999</v>
      </c>
      <c r="M26">
        <v>5.7559663600000004</v>
      </c>
      <c r="N26">
        <v>5.8621454499999999</v>
      </c>
      <c r="O26">
        <v>5.7650768399999999</v>
      </c>
      <c r="P26">
        <v>5.9066592699999996</v>
      </c>
      <c r="Q26">
        <v>5.8088725099999996</v>
      </c>
      <c r="R26">
        <v>5.85729685</v>
      </c>
      <c r="S26">
        <v>5.9090729900000003</v>
      </c>
      <c r="T26">
        <v>5.8574612000000004</v>
      </c>
      <c r="U26">
        <v>5.8035066799999999</v>
      </c>
      <c r="V26">
        <v>5.8055277600000004</v>
      </c>
      <c r="W26">
        <v>5.8147917800000002</v>
      </c>
      <c r="X26">
        <v>5.8032852899999998</v>
      </c>
      <c r="Y26">
        <v>5.9142175899999998</v>
      </c>
      <c r="Z26">
        <v>5.7641299899999998</v>
      </c>
      <c r="AA26">
        <v>5.8591195899999997</v>
      </c>
      <c r="AB26">
        <v>5.9596413500000001</v>
      </c>
      <c r="AC26">
        <v>5.6505057000000001</v>
      </c>
      <c r="AD26">
        <v>5.8722793500000003</v>
      </c>
      <c r="AE26">
        <v>5.81519545</v>
      </c>
      <c r="AF26">
        <v>5.8646745999999998</v>
      </c>
      <c r="AG26">
        <v>5.9104040500000004</v>
      </c>
      <c r="AH26">
        <v>5.8040358599999999</v>
      </c>
      <c r="AI26">
        <v>5.8512780800000002</v>
      </c>
      <c r="AJ26">
        <v>5.7613577500000002</v>
      </c>
      <c r="AK26">
        <v>5.9073102899999999</v>
      </c>
      <c r="AL26">
        <v>5.8605705700000001</v>
      </c>
      <c r="AM26">
        <v>5.8028196999999997</v>
      </c>
      <c r="AN26">
        <v>5.9108832299999996</v>
      </c>
      <c r="AO26">
        <v>5.8529813199999996</v>
      </c>
      <c r="AP26">
        <v>5.81106911</v>
      </c>
      <c r="AQ26">
        <v>5.8162656999999998</v>
      </c>
      <c r="AR26">
        <v>5.8094653699999999</v>
      </c>
      <c r="AS26">
        <v>5.69130424</v>
      </c>
      <c r="AT26">
        <v>5.9102444099999998</v>
      </c>
      <c r="AU26">
        <v>5.90797682</v>
      </c>
      <c r="AV26">
        <v>5.8140497399999997</v>
      </c>
      <c r="AW26">
        <v>5.8585521500000004</v>
      </c>
      <c r="AX26">
        <v>5.9084367799999997</v>
      </c>
      <c r="AY26">
        <v>5.8652838300000001</v>
      </c>
      <c r="AZ26">
        <v>5.9142824799999998</v>
      </c>
      <c r="BA26">
        <v>5.8108921599999999</v>
      </c>
      <c r="BB26">
        <v>5.8066441299999996</v>
      </c>
      <c r="BC26">
        <v>5.9175798999999998</v>
      </c>
      <c r="BD26">
        <v>5.8598638899999997</v>
      </c>
      <c r="BE26">
        <v>5.8489004800000002</v>
      </c>
      <c r="BF26">
        <v>5.8522286000000001</v>
      </c>
      <c r="BG26">
        <v>5.8588240899999997</v>
      </c>
      <c r="BH26">
        <v>6.0214704699999997</v>
      </c>
      <c r="BI26">
        <v>5.8499124599999996</v>
      </c>
      <c r="BJ26">
        <v>5.9111566</v>
      </c>
      <c r="BK26">
        <v>5.9067473599999998</v>
      </c>
      <c r="BL26">
        <v>5.9062552799999999</v>
      </c>
      <c r="BM26">
        <v>5.9518457500000004</v>
      </c>
      <c r="BN26">
        <v>5.9154981400000004</v>
      </c>
      <c r="BO26">
        <v>5.8622599500000003</v>
      </c>
      <c r="BP26">
        <v>5.8648199099999996</v>
      </c>
      <c r="BQ26">
        <v>5.8158003899999997</v>
      </c>
      <c r="BR26">
        <v>5.8521694999999996</v>
      </c>
      <c r="BS26">
        <v>5.8592154000000001</v>
      </c>
      <c r="BT26">
        <v>5.8090135099999998</v>
      </c>
      <c r="BU26">
        <v>5.9647759200000001</v>
      </c>
      <c r="BV26">
        <v>5.8497419600000002</v>
      </c>
      <c r="BW26">
        <v>5.8060104900000002</v>
      </c>
      <c r="BX26">
        <v>5.9579787499999997</v>
      </c>
      <c r="BY26">
        <v>5.9100159000000003</v>
      </c>
      <c r="BZ26">
        <v>5.9059418900000002</v>
      </c>
      <c r="CA26">
        <v>5.8482831400000004</v>
      </c>
      <c r="CB26">
        <v>5.8101691999999998</v>
      </c>
      <c r="CC26">
        <v>5.8618089800000002</v>
      </c>
      <c r="CD26">
        <v>5.76670075</v>
      </c>
      <c r="CE26">
        <v>5.9945417000000001</v>
      </c>
      <c r="CF26">
        <v>5.9031908900000003</v>
      </c>
      <c r="CG26">
        <v>5.8511929599999997</v>
      </c>
      <c r="CH26">
        <v>5.9113780299999998</v>
      </c>
      <c r="CI26">
        <v>5.87314018</v>
      </c>
      <c r="CJ26">
        <v>5.80947937</v>
      </c>
      <c r="CK26">
        <v>5.8600634100000004</v>
      </c>
      <c r="CL26">
        <v>5.8298595300000002</v>
      </c>
      <c r="CM26">
        <v>5.8944903599999998</v>
      </c>
      <c r="CN26">
        <v>5.8523696300000001</v>
      </c>
      <c r="CO26">
        <v>5.8415852499999996</v>
      </c>
      <c r="CP26">
        <v>5.8480246400000002</v>
      </c>
      <c r="CQ26">
        <v>5.8707625200000004</v>
      </c>
      <c r="CR26">
        <v>5.9151113200000003</v>
      </c>
      <c r="CS26">
        <v>5.9326979</v>
      </c>
      <c r="CT26">
        <v>5.8648902400000003</v>
      </c>
      <c r="CU26">
        <v>5.8513773499999999</v>
      </c>
      <c r="CV26">
        <v>5.7937097199999998</v>
      </c>
      <c r="CW26">
        <v>5.8792182200000003</v>
      </c>
      <c r="CX26">
        <v>5.6715172899999997</v>
      </c>
      <c r="CY26">
        <v>6.0117528199999999</v>
      </c>
      <c r="CZ26">
        <v>5.7549290800000001</v>
      </c>
      <c r="DA26">
        <v>5.7527365599999998</v>
      </c>
      <c r="DB26">
        <v>5.7978208899999997</v>
      </c>
      <c r="DC26">
        <v>5.7311409099999997</v>
      </c>
      <c r="DD26">
        <v>5.8072676899999998</v>
      </c>
      <c r="DE26">
        <v>5.5440375399999997</v>
      </c>
      <c r="DF26">
        <v>5.8388896099999998</v>
      </c>
      <c r="DG26">
        <v>5.8585720099999996</v>
      </c>
      <c r="DH26">
        <v>5.8585720099999996</v>
      </c>
      <c r="DI26">
        <v>5.8585720099999996</v>
      </c>
      <c r="DJ26">
        <v>5.8585720099999996</v>
      </c>
      <c r="DK26">
        <v>5.8496776700000002</v>
      </c>
      <c r="DL26">
        <v>5.7802702200000002</v>
      </c>
      <c r="DM26">
        <v>5.7749568900000003</v>
      </c>
      <c r="DN26">
        <v>5.9255664599999998</v>
      </c>
      <c r="DO26">
        <v>5.9726198200000002</v>
      </c>
      <c r="DP26">
        <v>5.8735800100000004</v>
      </c>
      <c r="DQ26">
        <v>5.6834434199999997</v>
      </c>
      <c r="DR26">
        <v>5.9314849900000004</v>
      </c>
      <c r="DS26">
        <v>6.00826978</v>
      </c>
      <c r="DT26">
        <v>5.8589680199999998</v>
      </c>
      <c r="DU26">
        <v>5.8640263600000004</v>
      </c>
      <c r="DV26">
        <v>5.8505319499999997</v>
      </c>
      <c r="DW26">
        <v>5.8507087899999997</v>
      </c>
      <c r="DX26">
        <v>5.8124692900000001</v>
      </c>
      <c r="DY26">
        <v>6.0146506799999999</v>
      </c>
      <c r="DZ26">
        <v>6.0037496700000004</v>
      </c>
      <c r="EA26">
        <v>5.8969839300000002</v>
      </c>
      <c r="EB26">
        <v>5.9088933900000002</v>
      </c>
      <c r="EC26">
        <v>5.8583919299999998</v>
      </c>
      <c r="ED26">
        <v>5.8588874400000002</v>
      </c>
      <c r="EE26">
        <v>5.8414059099999998</v>
      </c>
      <c r="EF26">
        <v>5.8114834799999997</v>
      </c>
      <c r="EG26">
        <v>5.8664920499999997</v>
      </c>
      <c r="EH26">
        <v>5.8026911300000004</v>
      </c>
      <c r="EI26">
        <v>5.7892925699999997</v>
      </c>
      <c r="EJ26">
        <v>5.7133652699999997</v>
      </c>
      <c r="EK26">
        <v>5.9505404100000003</v>
      </c>
      <c r="EL26">
        <v>5.7471408200000003</v>
      </c>
      <c r="EM26">
        <v>6.0562617200000002</v>
      </c>
      <c r="EN26">
        <v>6.0203423300000001</v>
      </c>
      <c r="EO26">
        <v>5.91723059</v>
      </c>
      <c r="EP26">
        <v>5.7444398899999998</v>
      </c>
      <c r="EQ26">
        <v>5.9798691000000002</v>
      </c>
      <c r="ER26">
        <v>5.8973592899999998</v>
      </c>
      <c r="ES26">
        <v>5.8425117899999996</v>
      </c>
      <c r="ET26">
        <v>5.9065950000000003</v>
      </c>
      <c r="EU26">
        <v>5.8632866300000002</v>
      </c>
      <c r="EV26">
        <v>5.9574535199999996</v>
      </c>
      <c r="EW26">
        <v>5.9130379599999996</v>
      </c>
      <c r="EX26">
        <v>5.8557312599999998</v>
      </c>
      <c r="EY26">
        <v>5.8514284999999999</v>
      </c>
      <c r="EZ26">
        <v>5.7563727099999999</v>
      </c>
      <c r="FA26">
        <v>5.7383545600000003</v>
      </c>
      <c r="FB26">
        <v>5.8497258399999996</v>
      </c>
      <c r="FC26">
        <v>5.8587311499999997</v>
      </c>
      <c r="FD26">
        <v>6.0278276599999998</v>
      </c>
      <c r="FE26">
        <v>6.0763301800000002</v>
      </c>
      <c r="FF26">
        <v>5.8489123000000003</v>
      </c>
      <c r="FG26">
        <v>5.9153124899999998</v>
      </c>
      <c r="FH26">
        <v>5.7054390599999998</v>
      </c>
      <c r="FI26">
        <v>6.0082330400000004</v>
      </c>
      <c r="FJ26">
        <v>6.1163425900000004</v>
      </c>
      <c r="FK26">
        <v>5.9647454499999997</v>
      </c>
      <c r="FL26">
        <v>5.8653033900000002</v>
      </c>
      <c r="FM26">
        <v>5.7954067699999996</v>
      </c>
      <c r="FN26">
        <v>5.9935290500000002</v>
      </c>
      <c r="FO26">
        <v>5.8493682600000003</v>
      </c>
      <c r="FP26">
        <v>5.9630655900000002</v>
      </c>
      <c r="FQ26">
        <v>5.7612032199999996</v>
      </c>
      <c r="FR26">
        <v>6.0130582800000001</v>
      </c>
      <c r="FS26">
        <v>5.7476423199999997</v>
      </c>
      <c r="FT26">
        <v>5.8538623400000001</v>
      </c>
      <c r="FU26">
        <v>5.8051168899999999</v>
      </c>
      <c r="FV26">
        <v>5.7133199100000001</v>
      </c>
      <c r="FW26">
        <v>6.1199875800000001</v>
      </c>
      <c r="FX26">
        <v>6.10902382</v>
      </c>
      <c r="FY26">
        <v>5.8611738500000001</v>
      </c>
      <c r="FZ26">
        <v>5.7364294899999999</v>
      </c>
      <c r="GA26">
        <v>5.4840016399999998</v>
      </c>
      <c r="GB26">
        <v>5.8657598699999998</v>
      </c>
      <c r="GC26">
        <v>5.8487067399999999</v>
      </c>
      <c r="GD26">
        <v>5.9585585700000001</v>
      </c>
      <c r="GE26">
        <v>5.7046526999999996</v>
      </c>
      <c r="GF26">
        <v>5.7576191000000003</v>
      </c>
      <c r="GG26">
        <v>5.8137847499999999</v>
      </c>
      <c r="GH26">
        <v>5.8600555999999999</v>
      </c>
      <c r="GI26">
        <v>5.8539686499999997</v>
      </c>
      <c r="GJ26">
        <v>5.8540766499999997</v>
      </c>
      <c r="GK26">
        <v>5.6842435199999999</v>
      </c>
      <c r="GL26">
        <v>5.9298772099999999</v>
      </c>
      <c r="GM26">
        <v>5.9588707400000001</v>
      </c>
      <c r="GN26">
        <v>5.8653497400000001</v>
      </c>
      <c r="GO26">
        <v>5.7656348599999996</v>
      </c>
      <c r="GP26">
        <v>5.6819526800000002</v>
      </c>
      <c r="GQ26">
        <v>5.7965749100000004</v>
      </c>
      <c r="GR26">
        <v>5.99960161</v>
      </c>
      <c r="GS26">
        <v>6.0190780000000004</v>
      </c>
      <c r="GT26">
        <v>5.6949633899999998</v>
      </c>
      <c r="GU26">
        <v>5.9470186900000002</v>
      </c>
      <c r="GV26">
        <v>5.7388296700000003</v>
      </c>
      <c r="GW26">
        <v>5.8038010499999997</v>
      </c>
      <c r="GX26">
        <v>5.95154607</v>
      </c>
      <c r="GY26">
        <v>5.7820770699999997</v>
      </c>
      <c r="GZ26">
        <v>5.7662371400000003</v>
      </c>
      <c r="HA26">
        <v>5.7692145400000001</v>
      </c>
      <c r="HB26">
        <v>5.8592043199999999</v>
      </c>
      <c r="HC26">
        <v>5.7400139799999996</v>
      </c>
      <c r="HD26">
        <v>6.0247492600000001</v>
      </c>
      <c r="HE26">
        <v>5.8819836499999996</v>
      </c>
      <c r="HF26">
        <v>5.8327661900000001</v>
      </c>
      <c r="HG26">
        <v>6.0021336300000003</v>
      </c>
      <c r="HH26">
        <v>5.8087851300000004</v>
      </c>
      <c r="HI26">
        <v>5.8585565400000004</v>
      </c>
      <c r="HJ26">
        <v>5.8119861500000001</v>
      </c>
      <c r="HK26">
        <v>5.7196758399999998</v>
      </c>
      <c r="HL26">
        <v>5.8562216300000003</v>
      </c>
      <c r="HM26">
        <v>5.8613071899999998</v>
      </c>
      <c r="HN26">
        <v>5.9563772300000002</v>
      </c>
      <c r="HO26">
        <v>5.7169090799999998</v>
      </c>
      <c r="HP26">
        <v>5.7609392899999996</v>
      </c>
      <c r="HQ26">
        <v>5.8011711100000003</v>
      </c>
      <c r="HR26">
        <v>5.8480883700000001</v>
      </c>
      <c r="HS26">
        <v>5.5385020999999997</v>
      </c>
      <c r="HT26">
        <v>5.8516203999999998</v>
      </c>
      <c r="HU26">
        <v>5.9223145300000004</v>
      </c>
      <c r="HV26">
        <v>5.7391922400000004</v>
      </c>
      <c r="HW26">
        <v>5.9570665199999997</v>
      </c>
      <c r="HX26">
        <v>5.8492901699999997</v>
      </c>
      <c r="HY26">
        <v>5.8242716400000001</v>
      </c>
      <c r="HZ26">
        <v>5.8315139800000004</v>
      </c>
      <c r="IA26">
        <v>5.92723362</v>
      </c>
      <c r="IB26">
        <v>6.0684484899999998</v>
      </c>
      <c r="IC26">
        <v>5.9593505799999997</v>
      </c>
      <c r="ID26">
        <v>5.5599844200000001</v>
      </c>
      <c r="IE26">
        <v>5.7565045399999999</v>
      </c>
      <c r="IF26">
        <v>5.5909476400000004</v>
      </c>
      <c r="IG26">
        <v>5.68979736</v>
      </c>
      <c r="IH26">
        <v>5.9559219399999996</v>
      </c>
      <c r="II26">
        <v>5.7670924799999996</v>
      </c>
      <c r="IJ26">
        <v>5.9005443199999998</v>
      </c>
      <c r="IK26">
        <v>5.6889126900000004</v>
      </c>
      <c r="IL26">
        <v>5.7736585800000002</v>
      </c>
      <c r="IM26">
        <v>5.8626047699999999</v>
      </c>
      <c r="IN26">
        <v>6.0640905199999997</v>
      </c>
      <c r="IO26">
        <v>5.9532515400000001</v>
      </c>
      <c r="IP26">
        <v>5.7534825500000002</v>
      </c>
      <c r="IQ26">
        <v>5.8465716900000002</v>
      </c>
      <c r="IR26">
        <v>5.8598653799999996</v>
      </c>
      <c r="IS26">
        <v>5.8310056699999997</v>
      </c>
      <c r="IT26">
        <v>5.9731572699999997</v>
      </c>
      <c r="IU26">
        <v>5.8991484300000003</v>
      </c>
      <c r="IV26">
        <v>6.0173813300000001</v>
      </c>
      <c r="IW26">
        <v>5.8078967199999996</v>
      </c>
      <c r="IX26">
        <v>5.83810685</v>
      </c>
      <c r="IY26">
        <v>5.9696510399999996</v>
      </c>
      <c r="IZ26">
        <v>5.98480569</v>
      </c>
      <c r="JA26">
        <v>5.5250334099999998</v>
      </c>
      <c r="JB26">
        <v>5.7880833200000001</v>
      </c>
      <c r="JC26">
        <v>5.7549393699999998</v>
      </c>
      <c r="JD26">
        <v>5.8367392100000002</v>
      </c>
      <c r="JK26" s="21"/>
      <c r="JL26" s="21"/>
      <c r="JM26" s="20"/>
      <c r="JN26" s="35"/>
      <c r="JO26" s="35"/>
      <c r="JP26" s="35"/>
      <c r="JQ26" s="41"/>
      <c r="JR26" s="35"/>
      <c r="JS26" s="35"/>
      <c r="JT26" s="35"/>
      <c r="JU26" s="35"/>
      <c r="JV26" s="35"/>
      <c r="JW26" s="35"/>
    </row>
    <row r="27" spans="1:283" ht="13.8" x14ac:dyDescent="0.3">
      <c r="A27" s="19" t="s">
        <v>11</v>
      </c>
      <c r="B27" s="18" t="s">
        <v>48</v>
      </c>
      <c r="C27" s="14">
        <v>3657</v>
      </c>
      <c r="D27" s="13">
        <v>5.6023526700000001</v>
      </c>
      <c r="E27" s="12">
        <v>5.5545453199999999</v>
      </c>
      <c r="F27">
        <v>5.5515717799999997</v>
      </c>
      <c r="G27">
        <v>5.5959139000000002</v>
      </c>
      <c r="H27">
        <v>5.6039587900000001</v>
      </c>
      <c r="I27">
        <v>5.5562983299999997</v>
      </c>
      <c r="J27">
        <v>5.6023655100000003</v>
      </c>
      <c r="K27">
        <v>5.7017525600000001</v>
      </c>
      <c r="L27">
        <v>5.6516592599999997</v>
      </c>
      <c r="M27">
        <v>5.5022646799999997</v>
      </c>
      <c r="N27">
        <v>5.6036260899999997</v>
      </c>
      <c r="O27">
        <v>5.4484884200000003</v>
      </c>
      <c r="P27">
        <v>5.6511899200000002</v>
      </c>
      <c r="Q27">
        <v>5.5533514400000001</v>
      </c>
      <c r="R27">
        <v>5.6014958699999999</v>
      </c>
      <c r="S27">
        <v>5.65111001</v>
      </c>
      <c r="T27">
        <v>5.6017530300000002</v>
      </c>
      <c r="U27">
        <v>5.5503890199999999</v>
      </c>
      <c r="V27">
        <v>5.5511122500000001</v>
      </c>
      <c r="W27">
        <v>5.55732626</v>
      </c>
      <c r="X27">
        <v>5.5485468400000002</v>
      </c>
      <c r="Y27">
        <v>5.6554799500000001</v>
      </c>
      <c r="Z27">
        <v>5.5084550200000004</v>
      </c>
      <c r="AA27">
        <v>5.6027222999999999</v>
      </c>
      <c r="AB27">
        <v>5.70144641</v>
      </c>
      <c r="AC27">
        <v>5.33789202</v>
      </c>
      <c r="AD27">
        <v>5.6119921000000001</v>
      </c>
      <c r="AE27">
        <v>5.5583953599999996</v>
      </c>
      <c r="AF27">
        <v>5.6062330400000002</v>
      </c>
      <c r="AG27">
        <v>5.6523427999999996</v>
      </c>
      <c r="AH27">
        <v>5.5502470800000001</v>
      </c>
      <c r="AI27">
        <v>5.5979355200000001</v>
      </c>
      <c r="AJ27">
        <v>5.50567954</v>
      </c>
      <c r="AK27">
        <v>5.6507770800000001</v>
      </c>
      <c r="AL27">
        <v>5.6030747999999999</v>
      </c>
      <c r="AM27">
        <v>5.6716151699999999</v>
      </c>
      <c r="AN27">
        <v>5.5315568900000001</v>
      </c>
      <c r="AO27">
        <v>5.5985501600000003</v>
      </c>
      <c r="AP27">
        <v>5.5547702299999999</v>
      </c>
      <c r="AQ27">
        <v>5.5577843299999996</v>
      </c>
      <c r="AR27">
        <v>5.5537741</v>
      </c>
      <c r="AS27">
        <v>5.4430742800000003</v>
      </c>
      <c r="AT27">
        <v>5.6527516599999998</v>
      </c>
      <c r="AU27">
        <v>5.6512141099999997</v>
      </c>
      <c r="AV27">
        <v>5.55561974</v>
      </c>
      <c r="AW27">
        <v>5.6024259599999997</v>
      </c>
      <c r="AX27">
        <v>5.6521527100000002</v>
      </c>
      <c r="AY27">
        <v>5.6068280699999997</v>
      </c>
      <c r="AZ27">
        <v>5.5944354000000001</v>
      </c>
      <c r="BA27">
        <v>5.5545673100000004</v>
      </c>
      <c r="BB27">
        <v>5.6138619700000003</v>
      </c>
      <c r="BC27">
        <v>5.6571139500000003</v>
      </c>
      <c r="BD27">
        <v>5.6033832500000003</v>
      </c>
      <c r="BE27">
        <v>5.5962543499999997</v>
      </c>
      <c r="BF27">
        <v>5.5980353999999997</v>
      </c>
      <c r="BG27">
        <v>5.6021162000000002</v>
      </c>
      <c r="BH27">
        <v>5.7593206600000002</v>
      </c>
      <c r="BI27">
        <v>5.5964932799999998</v>
      </c>
      <c r="BJ27">
        <v>5.6533937400000003</v>
      </c>
      <c r="BK27">
        <v>5.6503948299999998</v>
      </c>
      <c r="BL27">
        <v>5.7103603500000002</v>
      </c>
      <c r="BM27">
        <v>5.6354074299999999</v>
      </c>
      <c r="BN27">
        <v>5.6568747500000001</v>
      </c>
      <c r="BO27">
        <v>5.6050185099999998</v>
      </c>
      <c r="BP27">
        <v>5.60619698</v>
      </c>
      <c r="BQ27">
        <v>5.5580539800000004</v>
      </c>
      <c r="BR27">
        <v>5.5983146499999998</v>
      </c>
      <c r="BS27">
        <v>5.6027922700000001</v>
      </c>
      <c r="BT27">
        <v>5.55334737</v>
      </c>
      <c r="BU27">
        <v>5.7050318799999999</v>
      </c>
      <c r="BV27">
        <v>5.5959225999999997</v>
      </c>
      <c r="BW27">
        <v>5.5516427400000001</v>
      </c>
      <c r="BX27">
        <v>5.7006305199999998</v>
      </c>
      <c r="BY27">
        <v>5.6521697499999997</v>
      </c>
      <c r="BZ27">
        <v>5.6497226999999999</v>
      </c>
      <c r="CA27">
        <v>5.59599081</v>
      </c>
      <c r="CB27">
        <v>5.5541232599999999</v>
      </c>
      <c r="CC27">
        <v>5.6042369599999997</v>
      </c>
      <c r="CD27">
        <v>5.5091710300000001</v>
      </c>
      <c r="CE27">
        <v>5.7410828900000004</v>
      </c>
      <c r="CF27">
        <v>5.6480853700000004</v>
      </c>
      <c r="CG27">
        <v>5.53663025</v>
      </c>
      <c r="CH27">
        <v>5.7136385900000004</v>
      </c>
      <c r="CI27">
        <v>5.5522277000000004</v>
      </c>
      <c r="CJ27">
        <v>5.4929085100000004</v>
      </c>
      <c r="CK27">
        <v>5.6034758699999996</v>
      </c>
      <c r="CL27">
        <v>5.57486499</v>
      </c>
      <c r="CM27">
        <v>5.6347551300000003</v>
      </c>
      <c r="CN27">
        <v>5.5975825099999996</v>
      </c>
      <c r="CO27">
        <v>5.5905616399999998</v>
      </c>
      <c r="CP27">
        <v>5.59500581</v>
      </c>
      <c r="CQ27">
        <v>5.6105239300000003</v>
      </c>
      <c r="CR27">
        <v>5.6568430799999998</v>
      </c>
      <c r="CS27">
        <v>5.6829098800000004</v>
      </c>
      <c r="CT27">
        <v>5.6072452500000001</v>
      </c>
      <c r="CU27">
        <v>5.59732523</v>
      </c>
      <c r="CV27">
        <v>5.5420645899999998</v>
      </c>
      <c r="CW27">
        <v>5.6169610499999996</v>
      </c>
      <c r="CX27">
        <v>5.4268876099999996</v>
      </c>
      <c r="CY27">
        <v>5.7538484299999997</v>
      </c>
      <c r="CZ27">
        <v>5.5006850600000003</v>
      </c>
      <c r="DA27">
        <v>5.4673286699999997</v>
      </c>
      <c r="DB27">
        <v>5.5758668900000004</v>
      </c>
      <c r="DC27">
        <v>5.4460901599999998</v>
      </c>
      <c r="DD27">
        <v>5.5834206200000001</v>
      </c>
      <c r="DE27">
        <v>5.1675133400000002</v>
      </c>
      <c r="DF27">
        <v>5.5880021299999996</v>
      </c>
      <c r="DG27">
        <v>5.6023526700000001</v>
      </c>
      <c r="DH27">
        <v>5.6023526700000001</v>
      </c>
      <c r="DI27">
        <v>5.6023526700000001</v>
      </c>
      <c r="DJ27">
        <v>5.6023526700000001</v>
      </c>
      <c r="DK27">
        <v>5.5953826700000002</v>
      </c>
      <c r="DL27">
        <v>5.5182408699999996</v>
      </c>
      <c r="DM27">
        <v>5.5861267100000003</v>
      </c>
      <c r="DN27">
        <v>5.6074254400000001</v>
      </c>
      <c r="DO27">
        <v>5.7187533100000003</v>
      </c>
      <c r="DP27">
        <v>5.6189291399999997</v>
      </c>
      <c r="DQ27">
        <v>5.4282624000000004</v>
      </c>
      <c r="DR27">
        <v>5.6178232699999997</v>
      </c>
      <c r="DS27">
        <v>5.7524009200000004</v>
      </c>
      <c r="DT27">
        <v>5.6026404799999998</v>
      </c>
      <c r="DU27">
        <v>5.6055768099999996</v>
      </c>
      <c r="DV27">
        <v>5.5965055599999998</v>
      </c>
      <c r="DW27">
        <v>5.5967307399999999</v>
      </c>
      <c r="DX27">
        <v>5.5554988500000002</v>
      </c>
      <c r="DY27">
        <v>5.7554751800000004</v>
      </c>
      <c r="DZ27">
        <v>5.7491392100000001</v>
      </c>
      <c r="EA27">
        <v>5.6439051200000003</v>
      </c>
      <c r="EB27">
        <v>5.6531169400000003</v>
      </c>
      <c r="EC27">
        <v>5.60221985</v>
      </c>
      <c r="ED27">
        <v>5.6016639100000001</v>
      </c>
      <c r="EE27">
        <v>5.5906229500000002</v>
      </c>
      <c r="EF27">
        <v>5.5542923899999996</v>
      </c>
      <c r="EG27">
        <v>5.60856625</v>
      </c>
      <c r="EH27">
        <v>5.5481883300000003</v>
      </c>
      <c r="EI27">
        <v>5.5247508400000003</v>
      </c>
      <c r="EJ27">
        <v>5.4563831199999999</v>
      </c>
      <c r="EK27">
        <v>5.6962376199999998</v>
      </c>
      <c r="EL27">
        <v>5.4296733399999999</v>
      </c>
      <c r="EM27">
        <v>5.8006352400000001</v>
      </c>
      <c r="EN27">
        <v>5.7603403100000001</v>
      </c>
      <c r="EO27">
        <v>5.7217849799999998</v>
      </c>
      <c r="EP27">
        <v>5.4920115000000003</v>
      </c>
      <c r="EQ27">
        <v>5.65416133</v>
      </c>
      <c r="ER27">
        <v>5.6440942700000001</v>
      </c>
      <c r="ES27">
        <v>5.59108407</v>
      </c>
      <c r="ET27">
        <v>5.65155735</v>
      </c>
      <c r="EU27">
        <v>5.6058307799999998</v>
      </c>
      <c r="EV27">
        <v>5.7007333500000001</v>
      </c>
      <c r="EW27">
        <v>5.6546130200000002</v>
      </c>
      <c r="EX27">
        <v>5.60066533</v>
      </c>
      <c r="EY27">
        <v>5.5977199300000002</v>
      </c>
      <c r="EZ27">
        <v>5.5009321900000003</v>
      </c>
      <c r="FA27">
        <v>5.487349</v>
      </c>
      <c r="FB27">
        <v>5.5964783999999996</v>
      </c>
      <c r="FC27">
        <v>5.60247019</v>
      </c>
      <c r="FD27">
        <v>5.76651179</v>
      </c>
      <c r="FE27">
        <v>5.9419684799999999</v>
      </c>
      <c r="FF27">
        <v>5.6891615699999996</v>
      </c>
      <c r="FG27">
        <v>5.6262502000000003</v>
      </c>
      <c r="FH27">
        <v>5.4510823500000001</v>
      </c>
      <c r="FI27">
        <v>5.8127008399999998</v>
      </c>
      <c r="FJ27">
        <v>5.7937179399999996</v>
      </c>
      <c r="FK27">
        <v>5.7066882999999997</v>
      </c>
      <c r="FL27">
        <v>5.6076703300000004</v>
      </c>
      <c r="FM27">
        <v>5.5662230900000003</v>
      </c>
      <c r="FN27">
        <v>5.7034031299999999</v>
      </c>
      <c r="FO27">
        <v>5.5963077400000003</v>
      </c>
      <c r="FP27">
        <v>5.7049781499999996</v>
      </c>
      <c r="FQ27">
        <v>5.5040660600000004</v>
      </c>
      <c r="FR27">
        <v>5.7551119799999997</v>
      </c>
      <c r="FS27">
        <v>5.4952131199999998</v>
      </c>
      <c r="FT27">
        <v>5.5990199799999996</v>
      </c>
      <c r="FU27">
        <v>5.5504197499999997</v>
      </c>
      <c r="FV27">
        <v>5.4556918799999998</v>
      </c>
      <c r="FW27">
        <v>5.8594384399999999</v>
      </c>
      <c r="FX27">
        <v>5.8514197799999996</v>
      </c>
      <c r="FY27">
        <v>5.6644117200000004</v>
      </c>
      <c r="FZ27">
        <v>5.5103233100000004</v>
      </c>
      <c r="GA27">
        <v>5.1999369499999997</v>
      </c>
      <c r="GB27">
        <v>5.60773075</v>
      </c>
      <c r="GC27">
        <v>5.5956746700000002</v>
      </c>
      <c r="GD27">
        <v>5.7017854400000001</v>
      </c>
      <c r="GE27">
        <v>5.45092994</v>
      </c>
      <c r="GF27">
        <v>5.5022788900000004</v>
      </c>
      <c r="GG27">
        <v>5.55606724</v>
      </c>
      <c r="GH27">
        <v>5.6035478899999998</v>
      </c>
      <c r="GI27">
        <v>5.5993193300000001</v>
      </c>
      <c r="GJ27">
        <v>5.5990420800000003</v>
      </c>
      <c r="GK27">
        <v>5.4296401300000001</v>
      </c>
      <c r="GL27">
        <v>5.6740788899999997</v>
      </c>
      <c r="GM27">
        <v>5.7016045599999998</v>
      </c>
      <c r="GN27">
        <v>5.6065085200000002</v>
      </c>
      <c r="GO27">
        <v>5.41593385</v>
      </c>
      <c r="GP27">
        <v>5.4651172199999998</v>
      </c>
      <c r="GQ27">
        <v>5.5430658800000003</v>
      </c>
      <c r="GR27">
        <v>5.7448066600000001</v>
      </c>
      <c r="GS27">
        <v>5.7902277199999999</v>
      </c>
      <c r="GT27">
        <v>5.4608739899999996</v>
      </c>
      <c r="GU27">
        <v>5.6792580199999998</v>
      </c>
      <c r="GV27">
        <v>5.5117722100000002</v>
      </c>
      <c r="GW27">
        <v>5.51213525</v>
      </c>
      <c r="GX27">
        <v>5.65930584</v>
      </c>
      <c r="GY27">
        <v>5.5579433900000002</v>
      </c>
      <c r="GZ27">
        <v>5.5085963299999996</v>
      </c>
      <c r="HA27">
        <v>5.5717996599999999</v>
      </c>
      <c r="HB27">
        <v>5.5413495700000004</v>
      </c>
      <c r="HC27">
        <v>5.6444235999999997</v>
      </c>
      <c r="HD27">
        <v>5.6699550600000004</v>
      </c>
      <c r="HE27">
        <v>5.65669603</v>
      </c>
      <c r="HF27">
        <v>5.54592083</v>
      </c>
      <c r="HG27">
        <v>5.7458403200000001</v>
      </c>
      <c r="HH27">
        <v>5.55370059</v>
      </c>
      <c r="HI27">
        <v>5.6025272399999997</v>
      </c>
      <c r="HJ27">
        <v>5.5552689500000003</v>
      </c>
      <c r="HK27">
        <v>5.4612675700000004</v>
      </c>
      <c r="HL27">
        <v>5.6615855799999997</v>
      </c>
      <c r="HM27">
        <v>5.5436420100000001</v>
      </c>
      <c r="HN27">
        <v>5.6998843399999997</v>
      </c>
      <c r="HO27">
        <v>5.3982430800000003</v>
      </c>
      <c r="HP27">
        <v>5.5662825299999996</v>
      </c>
      <c r="HQ27">
        <v>5.5474539600000004</v>
      </c>
      <c r="HR27">
        <v>5.5951941999999999</v>
      </c>
      <c r="HS27">
        <v>5.2288652899999999</v>
      </c>
      <c r="HT27">
        <v>5.5975019100000001</v>
      </c>
      <c r="HU27">
        <v>5.6606261499999997</v>
      </c>
      <c r="HV27">
        <v>5.4265521400000001</v>
      </c>
      <c r="HW27">
        <v>5.7009884499999997</v>
      </c>
      <c r="HX27">
        <v>5.5636904400000002</v>
      </c>
      <c r="HY27">
        <v>5.5951876800000004</v>
      </c>
      <c r="HZ27">
        <v>5.4805151700000003</v>
      </c>
      <c r="IA27">
        <v>5.7681702399999999</v>
      </c>
      <c r="IB27">
        <v>5.80857811</v>
      </c>
      <c r="IC27">
        <v>5.70219757</v>
      </c>
      <c r="ID27">
        <v>5.3045313299999997</v>
      </c>
      <c r="IE27">
        <v>5.5017060100000004</v>
      </c>
      <c r="IF27">
        <v>5.2767435899999997</v>
      </c>
      <c r="IG27">
        <v>5.4400645799999996</v>
      </c>
      <c r="IH27">
        <v>5.6999063999999997</v>
      </c>
      <c r="II27">
        <v>5.5079752800000001</v>
      </c>
      <c r="IJ27">
        <v>5.6464635100000002</v>
      </c>
      <c r="IK27">
        <v>5.4390355100000001</v>
      </c>
      <c r="IL27">
        <v>5.4486107600000002</v>
      </c>
      <c r="IM27">
        <v>5.6052743600000001</v>
      </c>
      <c r="IN27">
        <v>5.8048006799999996</v>
      </c>
      <c r="IO27">
        <v>5.7631605400000003</v>
      </c>
      <c r="IP27">
        <v>5.4995515399999997</v>
      </c>
      <c r="IQ27">
        <v>5.5944735000000003</v>
      </c>
      <c r="IR27">
        <v>5.6293270299999998</v>
      </c>
      <c r="IS27">
        <v>5.5420493899999999</v>
      </c>
      <c r="IT27">
        <v>5.71257386</v>
      </c>
      <c r="IU27">
        <v>5.6455082599999997</v>
      </c>
      <c r="IV27">
        <v>5.6289703500000003</v>
      </c>
      <c r="IW27">
        <v>5.6816168300000003</v>
      </c>
      <c r="IX27">
        <v>5.5728797400000003</v>
      </c>
      <c r="IY27">
        <v>5.7099054100000002</v>
      </c>
      <c r="IZ27">
        <v>5.6962456899999996</v>
      </c>
      <c r="JA27">
        <v>5.3042860000000003</v>
      </c>
      <c r="JB27">
        <v>5.5238623100000002</v>
      </c>
      <c r="JC27">
        <v>5.50082805</v>
      </c>
      <c r="JD27">
        <v>5.5147650700000002</v>
      </c>
      <c r="JK27" s="21"/>
      <c r="JL27" s="21"/>
      <c r="JM27" s="20"/>
      <c r="JN27" s="35"/>
      <c r="JO27" s="35"/>
      <c r="JP27" s="35"/>
      <c r="JQ27" s="41"/>
      <c r="JR27" s="35"/>
      <c r="JS27" s="35"/>
      <c r="JT27" s="35"/>
      <c r="JU27" s="35"/>
      <c r="JV27" s="35"/>
      <c r="JW27" s="35"/>
    </row>
    <row r="28" spans="1:283" ht="13.8" x14ac:dyDescent="0.3">
      <c r="A28" s="19"/>
      <c r="B28" s="18"/>
      <c r="C28" s="15"/>
      <c r="D28" s="33"/>
      <c r="E28" s="34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/>
      <c r="IX28" s="35"/>
      <c r="IY28" s="35"/>
      <c r="IZ28" s="35"/>
      <c r="JA28" s="35"/>
      <c r="JB28" s="35"/>
      <c r="JC28" s="35"/>
      <c r="JD28" s="35"/>
      <c r="JK28" s="21"/>
      <c r="JL28" s="21"/>
      <c r="JM28" s="20"/>
      <c r="JN28" s="35"/>
      <c r="JO28" s="35"/>
      <c r="JP28" s="35"/>
      <c r="JQ28" s="41"/>
      <c r="JR28" s="35"/>
      <c r="JS28" s="35"/>
      <c r="JT28" s="35"/>
      <c r="JU28" s="35"/>
      <c r="JV28" s="35"/>
      <c r="JW28" s="35"/>
    </row>
    <row r="29" spans="1:283" ht="13.8" x14ac:dyDescent="0.3">
      <c r="A29" s="19" t="s">
        <v>11</v>
      </c>
      <c r="B29" s="18" t="s">
        <v>47</v>
      </c>
      <c r="C29">
        <v>2</v>
      </c>
      <c r="D29" s="36">
        <v>0.16374195</v>
      </c>
      <c r="E29" s="37">
        <v>0.16324733</v>
      </c>
      <c r="F29" s="35">
        <v>0.16210253999999999</v>
      </c>
      <c r="G29" s="35">
        <v>0.16418806</v>
      </c>
      <c r="H29" s="35">
        <v>0.16491806000000001</v>
      </c>
      <c r="I29" s="35">
        <v>0.16674340000000001</v>
      </c>
      <c r="J29" s="35">
        <v>0.16452356000000001</v>
      </c>
      <c r="K29" s="35">
        <v>0.16302083000000001</v>
      </c>
      <c r="L29" s="35">
        <v>0.16398529000000001</v>
      </c>
      <c r="M29" s="35">
        <v>0.16341749999999999</v>
      </c>
      <c r="N29" s="35">
        <v>0.16971349999999999</v>
      </c>
      <c r="O29" s="35">
        <v>0.16182065000000001</v>
      </c>
      <c r="P29" s="35">
        <v>0.15762339</v>
      </c>
      <c r="Q29" s="35">
        <v>0.1640664</v>
      </c>
      <c r="R29" s="35">
        <v>0.16374195</v>
      </c>
      <c r="S29" s="35">
        <v>0.16742156</v>
      </c>
      <c r="T29" s="35">
        <v>0.16213390999999999</v>
      </c>
      <c r="U29" s="35">
        <v>0.16185289</v>
      </c>
      <c r="V29" s="35">
        <v>0.16698637999999999</v>
      </c>
      <c r="W29" s="35">
        <v>0.16495862</v>
      </c>
      <c r="X29" s="35">
        <v>0.16826416999999999</v>
      </c>
      <c r="Y29" s="35">
        <v>0.16332144000000001</v>
      </c>
      <c r="Z29" s="35">
        <v>0.16258049999999999</v>
      </c>
      <c r="AA29" s="35">
        <v>0.16333640999999999</v>
      </c>
      <c r="AB29" s="35">
        <v>0.16394473000000001</v>
      </c>
      <c r="AC29" s="35">
        <v>0.16732913999999999</v>
      </c>
      <c r="AD29" s="35">
        <v>0.16243149000000001</v>
      </c>
      <c r="AE29" s="35">
        <v>0.16158689000000001</v>
      </c>
      <c r="AF29" s="35">
        <v>0.16333640999999999</v>
      </c>
      <c r="AG29" s="35">
        <v>0.16763554999999999</v>
      </c>
      <c r="AH29" s="35">
        <v>0.16408912</v>
      </c>
      <c r="AI29" s="35">
        <v>0.16282674</v>
      </c>
      <c r="AJ29" s="35">
        <v>0.16211974000000001</v>
      </c>
      <c r="AK29" s="35">
        <v>0.16201835000000001</v>
      </c>
      <c r="AL29" s="35">
        <v>0.16674333999999999</v>
      </c>
      <c r="AM29" s="35">
        <v>0.16171371000000001</v>
      </c>
      <c r="AN29" s="35">
        <v>0.16329601999999999</v>
      </c>
      <c r="AO29" s="35">
        <v>0.16118695999999999</v>
      </c>
      <c r="AP29" s="35">
        <v>0.16382305999999999</v>
      </c>
      <c r="AQ29" s="35">
        <v>0.16792397000000001</v>
      </c>
      <c r="AR29" s="35">
        <v>0.1615383</v>
      </c>
      <c r="AS29" s="35">
        <v>0.16077</v>
      </c>
      <c r="AT29" s="35">
        <v>0.16280918</v>
      </c>
      <c r="AU29" s="35">
        <v>0.16544528999999999</v>
      </c>
      <c r="AV29" s="35">
        <v>0.16560474</v>
      </c>
      <c r="AW29" s="35">
        <v>0.16183861999999999</v>
      </c>
      <c r="AX29" s="35">
        <v>0.16569793999999999</v>
      </c>
      <c r="AY29" s="35">
        <v>0.16169599000000001</v>
      </c>
      <c r="AZ29" s="35">
        <v>0.16366981</v>
      </c>
      <c r="BA29" s="35">
        <v>0.16114630999999999</v>
      </c>
      <c r="BB29" s="35">
        <v>0.16374195</v>
      </c>
      <c r="BC29" s="35">
        <v>0.16481649000000001</v>
      </c>
      <c r="BD29" s="35">
        <v>0.16335685</v>
      </c>
      <c r="BE29" s="35">
        <v>0.16489777999999999</v>
      </c>
      <c r="BF29" s="35">
        <v>0.16562777000000001</v>
      </c>
      <c r="BG29" s="35">
        <v>0.16776625000000001</v>
      </c>
      <c r="BH29" s="35">
        <v>0.16243469999999999</v>
      </c>
      <c r="BI29" s="35">
        <v>0.16311350999999999</v>
      </c>
      <c r="BJ29" s="35">
        <v>0.16617528000000001</v>
      </c>
      <c r="BK29" s="35">
        <v>0.16453279000000001</v>
      </c>
      <c r="BL29" s="35">
        <v>0.16871699000000001</v>
      </c>
      <c r="BM29" s="35">
        <v>0.15965913000000001</v>
      </c>
      <c r="BN29" s="35">
        <v>0.16366084</v>
      </c>
      <c r="BO29" s="35">
        <v>0.16443140000000001</v>
      </c>
      <c r="BP29" s="35">
        <v>0.16996517999999999</v>
      </c>
      <c r="BQ29" s="35">
        <v>0.16204047999999999</v>
      </c>
      <c r="BR29" s="35">
        <v>0.16053824999999999</v>
      </c>
      <c r="BS29" s="35">
        <v>0.16398529000000001</v>
      </c>
      <c r="BT29" s="35">
        <v>0.16357973000000001</v>
      </c>
      <c r="BU29" s="35">
        <v>0.16929826000000001</v>
      </c>
      <c r="BV29" s="35">
        <v>0.16038126</v>
      </c>
      <c r="BW29" s="35">
        <v>0.16028913</v>
      </c>
      <c r="BX29" s="35">
        <v>0.16439084000000001</v>
      </c>
      <c r="BY29" s="35">
        <v>0.16756705999999999</v>
      </c>
      <c r="BZ29" s="35">
        <v>0.15730103000000001</v>
      </c>
      <c r="CA29" s="35">
        <v>0.16321473</v>
      </c>
      <c r="CB29" s="35">
        <v>0.16479638999999999</v>
      </c>
      <c r="CC29" s="35">
        <v>0.16822131000000001</v>
      </c>
      <c r="CD29" s="35">
        <v>0.16252717</v>
      </c>
      <c r="CE29" s="35">
        <v>0.15897685</v>
      </c>
      <c r="CF29" s="35">
        <v>0.16341752000000001</v>
      </c>
      <c r="CG29" s="35">
        <v>0.16526278</v>
      </c>
      <c r="CH29" s="35">
        <v>0.16831141999999999</v>
      </c>
      <c r="CI29" s="35">
        <v>0.16292077999999999</v>
      </c>
      <c r="CJ29" s="35">
        <v>0.16090615999999999</v>
      </c>
      <c r="CK29" s="35">
        <v>0.16384335</v>
      </c>
      <c r="CL29" s="35">
        <v>0.16410695</v>
      </c>
      <c r="CM29" s="35">
        <v>0.16688747000000001</v>
      </c>
      <c r="CN29" s="35">
        <v>0.15858896</v>
      </c>
      <c r="CO29" s="35">
        <v>0.16108559</v>
      </c>
      <c r="CP29" s="35">
        <v>0.16337695999999999</v>
      </c>
      <c r="CQ29" s="35">
        <v>0.16937036</v>
      </c>
      <c r="CR29" s="35">
        <v>0.16090588</v>
      </c>
      <c r="CS29" s="35">
        <v>0.15918547</v>
      </c>
      <c r="CT29" s="35">
        <v>0.16295112</v>
      </c>
      <c r="CU29" s="35">
        <v>0.16572917000000001</v>
      </c>
      <c r="CV29" s="35">
        <v>0.16952933000000001</v>
      </c>
      <c r="CW29" s="35">
        <v>0.16008349999999999</v>
      </c>
      <c r="CX29" s="35">
        <v>0.15741558</v>
      </c>
      <c r="CY29" s="35">
        <v>0.16333639999999999</v>
      </c>
      <c r="CZ29" s="35">
        <v>0.16475585000000001</v>
      </c>
      <c r="DA29" s="35">
        <v>0.16869445999999999</v>
      </c>
      <c r="DB29" s="35">
        <v>0.16124289</v>
      </c>
      <c r="DC29" s="35">
        <v>0.15942297</v>
      </c>
      <c r="DD29" s="35">
        <v>0.16495862</v>
      </c>
      <c r="DE29" s="35">
        <v>0.15907808000000001</v>
      </c>
      <c r="DF29" s="35">
        <v>0.17093633999999999</v>
      </c>
      <c r="DG29" s="35">
        <v>0.16497395000000001</v>
      </c>
      <c r="DH29" s="35">
        <v>0.15681618999999999</v>
      </c>
      <c r="DI29" s="35">
        <v>0.16374195</v>
      </c>
      <c r="DJ29" s="35">
        <v>0.16374195</v>
      </c>
      <c r="DK29" s="35">
        <v>0.17252414999999999</v>
      </c>
      <c r="DL29" s="35">
        <v>0.15995282999999999</v>
      </c>
      <c r="DM29" s="35">
        <v>0.16108070999999999</v>
      </c>
      <c r="DN29" s="35">
        <v>0.16400555999999999</v>
      </c>
      <c r="DO29" s="35">
        <v>0.16408666999999999</v>
      </c>
      <c r="DP29" s="35">
        <v>0.16804559999999999</v>
      </c>
      <c r="DQ29" s="35">
        <v>0.16295295000000001</v>
      </c>
      <c r="DR29" s="35">
        <v>0.15968995</v>
      </c>
      <c r="DS29" s="35">
        <v>0.16516138999999999</v>
      </c>
      <c r="DT29" s="35">
        <v>0.16272807</v>
      </c>
      <c r="DU29" s="35">
        <v>0.16938843000000001</v>
      </c>
      <c r="DV29" s="35">
        <v>0.16224641000000001</v>
      </c>
      <c r="DW29" s="35">
        <v>0.15918546</v>
      </c>
      <c r="DX29" s="35">
        <v>0.16455306</v>
      </c>
      <c r="DY29" s="35">
        <v>0.17306203000000001</v>
      </c>
      <c r="DZ29" s="35">
        <v>0.16284994</v>
      </c>
      <c r="EA29" s="35">
        <v>0.16141542</v>
      </c>
      <c r="EB29" s="35">
        <v>0.16366084</v>
      </c>
      <c r="EC29" s="35">
        <v>0.16203458000000001</v>
      </c>
      <c r="ED29" s="35">
        <v>0.16983158000000001</v>
      </c>
      <c r="EE29" s="35">
        <v>0.16400368000000001</v>
      </c>
      <c r="EF29" s="35">
        <v>0.16410969</v>
      </c>
      <c r="EG29" s="35">
        <v>0.16096946000000001</v>
      </c>
      <c r="EH29" s="35">
        <v>0.16208264999999999</v>
      </c>
      <c r="EI29" s="35">
        <v>0.16754541000000001</v>
      </c>
      <c r="EJ29" s="35">
        <v>0.16464419</v>
      </c>
      <c r="EK29" s="35">
        <v>0.16046178</v>
      </c>
      <c r="EL29" s="35">
        <v>0.16199203000000001</v>
      </c>
      <c r="EM29" s="35">
        <v>0.16527085</v>
      </c>
      <c r="EN29" s="35">
        <v>0.17015533999999999</v>
      </c>
      <c r="EO29" s="35">
        <v>0.16230346000000001</v>
      </c>
      <c r="EP29" s="35">
        <v>0.15966738</v>
      </c>
      <c r="EQ29" s="35">
        <v>0.16799330000000001</v>
      </c>
      <c r="ER29" s="35">
        <v>0.16206251999999999</v>
      </c>
      <c r="ES29" s="35">
        <v>0.1625983</v>
      </c>
      <c r="ET29" s="35">
        <v>0.16163843999999999</v>
      </c>
      <c r="EU29" s="35">
        <v>0.16426916999999999</v>
      </c>
      <c r="EV29" s="35">
        <v>0.16839255</v>
      </c>
      <c r="EW29" s="35">
        <v>0.15811399000000001</v>
      </c>
      <c r="EX29" s="35">
        <v>0.16418806</v>
      </c>
      <c r="EY29" s="35">
        <v>0.16795275000000001</v>
      </c>
      <c r="EZ29" s="35">
        <v>0.16253033</v>
      </c>
      <c r="FA29" s="35">
        <v>0.16262048000000001</v>
      </c>
      <c r="FB29" s="35">
        <v>0.16402584000000001</v>
      </c>
      <c r="FC29" s="35">
        <v>0.16145462999999999</v>
      </c>
      <c r="FD29" s="35">
        <v>0.17038336000000001</v>
      </c>
      <c r="FE29" s="35">
        <v>0.16214605000000001</v>
      </c>
      <c r="FF29" s="35">
        <v>0.16036329999999999</v>
      </c>
      <c r="FG29" s="35">
        <v>0.16223329</v>
      </c>
      <c r="FH29" s="35">
        <v>0.16644294000000001</v>
      </c>
      <c r="FI29" s="35">
        <v>0.16900082999999999</v>
      </c>
      <c r="FJ29" s="35">
        <v>0.15508453</v>
      </c>
      <c r="FK29" s="35">
        <v>0.16307077</v>
      </c>
      <c r="FL29" s="35">
        <v>0.16284161999999999</v>
      </c>
      <c r="FM29" s="35">
        <v>0.16635088000000001</v>
      </c>
      <c r="FN29" s="35">
        <v>0.15965884999999999</v>
      </c>
      <c r="FO29" s="35">
        <v>0.16421036999999999</v>
      </c>
      <c r="FP29" s="35">
        <v>0.16357769999999999</v>
      </c>
      <c r="FQ29" s="35">
        <v>0.16851942</v>
      </c>
      <c r="FR29" s="35">
        <v>0.16250825999999999</v>
      </c>
      <c r="FS29" s="35">
        <v>0.16075985000000001</v>
      </c>
      <c r="FT29" s="35">
        <v>0.16356351</v>
      </c>
      <c r="FU29" s="35">
        <v>0.16280106999999999</v>
      </c>
      <c r="FV29" s="35">
        <v>0.16848001000000001</v>
      </c>
      <c r="FW29" s="35">
        <v>0.16207550000000001</v>
      </c>
      <c r="FX29" s="35">
        <v>0.16122797999999999</v>
      </c>
      <c r="FY29" s="35">
        <v>0.16594817000000001</v>
      </c>
      <c r="FZ29" s="35">
        <v>0.16492617000000001</v>
      </c>
      <c r="GA29" s="35">
        <v>0.16816275</v>
      </c>
      <c r="GB29" s="35">
        <v>0.16144869000000001</v>
      </c>
      <c r="GC29" s="35">
        <v>0.16178475</v>
      </c>
      <c r="GD29" s="35">
        <v>0.16366084</v>
      </c>
      <c r="GE29" s="35">
        <v>0.16629492000000001</v>
      </c>
      <c r="GF29" s="35">
        <v>0.16902486999999999</v>
      </c>
      <c r="GG29" s="35">
        <v>0.15603179</v>
      </c>
      <c r="GH29" s="35">
        <v>0.16429147</v>
      </c>
      <c r="GI29" s="35">
        <v>0.16705244</v>
      </c>
      <c r="GJ29" s="35">
        <v>0.16170747999999999</v>
      </c>
      <c r="GK29" s="35">
        <v>0.16135471000000001</v>
      </c>
      <c r="GL29" s="35">
        <v>0.16391025000000001</v>
      </c>
      <c r="GM29" s="35">
        <v>0.16509446</v>
      </c>
      <c r="GN29" s="35">
        <v>0.1675285</v>
      </c>
      <c r="GO29" s="35">
        <v>0.161606</v>
      </c>
      <c r="GP29" s="35">
        <v>0.16295314999999999</v>
      </c>
      <c r="GQ29" s="35">
        <v>0.16711598999999999</v>
      </c>
      <c r="GR29" s="35">
        <v>0.16561591000000001</v>
      </c>
      <c r="GS29" s="35">
        <v>0.16330583000000001</v>
      </c>
      <c r="GT29" s="35">
        <v>0.16454294</v>
      </c>
      <c r="GU29" s="35">
        <v>0.16419210000000001</v>
      </c>
      <c r="GV29" s="35">
        <v>0.16716439999999999</v>
      </c>
      <c r="GW29" s="35">
        <v>0.14758990999999999</v>
      </c>
      <c r="GX29" s="35">
        <v>0.14026174999999999</v>
      </c>
      <c r="GY29" s="35">
        <v>0.17045382000000001</v>
      </c>
      <c r="GZ29" s="35">
        <v>0.20168142999999999</v>
      </c>
      <c r="HA29" s="35">
        <v>0.1644794</v>
      </c>
      <c r="HB29" s="35">
        <v>0.17027709999999999</v>
      </c>
      <c r="HC29" s="35">
        <v>0.16295414</v>
      </c>
      <c r="HD29" s="35">
        <v>0.16443140000000001</v>
      </c>
      <c r="HE29" s="35">
        <v>0.16309307000000001</v>
      </c>
      <c r="HF29" s="35">
        <v>0.16769855</v>
      </c>
      <c r="HG29" s="35">
        <v>0.16169133999999999</v>
      </c>
      <c r="HH29" s="35">
        <v>0.16264708</v>
      </c>
      <c r="HI29" s="35">
        <v>0.16248473999999999</v>
      </c>
      <c r="HJ29" s="35">
        <v>0.16435027999999999</v>
      </c>
      <c r="HK29" s="35">
        <v>0.16706318000000001</v>
      </c>
      <c r="HL29" s="35">
        <v>0.16189653000000001</v>
      </c>
      <c r="HM29" s="35">
        <v>0.16067435999999999</v>
      </c>
      <c r="HN29" s="35">
        <v>0.16211974000000001</v>
      </c>
      <c r="HO29" s="35">
        <v>0.16467472999999999</v>
      </c>
      <c r="HP29" s="35">
        <v>0.16564376</v>
      </c>
      <c r="HQ29" s="35">
        <v>0.16414877999999999</v>
      </c>
      <c r="HR29" s="35">
        <v>0.16139276</v>
      </c>
      <c r="HS29" s="35">
        <v>0.16309307000000001</v>
      </c>
      <c r="HT29" s="35">
        <v>0.16252528999999999</v>
      </c>
      <c r="HU29" s="35">
        <v>0.16575055</v>
      </c>
      <c r="HV29" s="35">
        <v>0.16173335999999999</v>
      </c>
      <c r="HW29" s="35">
        <v>0.16293084999999999</v>
      </c>
      <c r="HX29" s="35">
        <v>0.16374195</v>
      </c>
      <c r="HY29" s="35">
        <v>0.16565730000000001</v>
      </c>
      <c r="HZ29" s="35">
        <v>0.16543256000000001</v>
      </c>
      <c r="IA29" s="35">
        <v>0.16046044000000001</v>
      </c>
      <c r="IB29" s="35">
        <v>0.16349862000000001</v>
      </c>
      <c r="IC29" s="35">
        <v>0.16382305999999999</v>
      </c>
      <c r="ID29" s="35">
        <v>0.16652022</v>
      </c>
      <c r="IE29" s="35">
        <v>0.16219180999999999</v>
      </c>
      <c r="IF29" s="35">
        <v>0.16214882999999999</v>
      </c>
      <c r="IG29" s="35">
        <v>0.16398529000000001</v>
      </c>
      <c r="IH29" s="35">
        <v>0.16409681000000001</v>
      </c>
      <c r="II29" s="35">
        <v>0.16634899</v>
      </c>
      <c r="IJ29" s="35">
        <v>0.16278888</v>
      </c>
      <c r="IK29" s="35">
        <v>0.16267604999999999</v>
      </c>
      <c r="IL29" s="35">
        <v>0.16325529</v>
      </c>
      <c r="IM29" s="35">
        <v>0.16386361999999999</v>
      </c>
      <c r="IN29" s="35">
        <v>0.16639629</v>
      </c>
      <c r="IO29" s="35">
        <v>0.16321374999999999</v>
      </c>
      <c r="IP29" s="35">
        <v>0.16157526</v>
      </c>
      <c r="IQ29" s="35">
        <v>0.16252528999999999</v>
      </c>
      <c r="IR29" s="35">
        <v>0.16526278</v>
      </c>
      <c r="IS29" s="35">
        <v>0.16744222</v>
      </c>
      <c r="IT29" s="35">
        <v>0.15999589</v>
      </c>
      <c r="IU29" s="35">
        <v>0.16125302999999999</v>
      </c>
      <c r="IV29" s="35">
        <v>0.16419819999999999</v>
      </c>
      <c r="IW29" s="35">
        <v>0.26813176999999999</v>
      </c>
      <c r="IX29" s="35">
        <v>0.17842395999999999</v>
      </c>
      <c r="IY29" s="35">
        <v>0.15911760999999999</v>
      </c>
      <c r="IZ29" s="35">
        <v>0.15344097000000001</v>
      </c>
      <c r="JA29" s="35">
        <v>0.16246447</v>
      </c>
      <c r="JB29" s="35">
        <v>0.17955612000000001</v>
      </c>
      <c r="JC29" s="35">
        <v>0.15743500999999999</v>
      </c>
      <c r="JD29" s="35">
        <v>0.15500528999999999</v>
      </c>
      <c r="JK29" s="21"/>
      <c r="JL29" s="21"/>
      <c r="JM29" s="20"/>
      <c r="JN29" s="35"/>
      <c r="JO29" s="35"/>
      <c r="JP29" s="35"/>
      <c r="JQ29" s="41"/>
      <c r="JR29" s="35"/>
      <c r="JS29" s="35"/>
      <c r="JT29" s="35"/>
      <c r="JU29" s="35"/>
      <c r="JV29" s="35"/>
      <c r="JW29" s="35"/>
    </row>
    <row r="30" spans="1:283" ht="13.8" x14ac:dyDescent="0.3">
      <c r="A30" s="19" t="s">
        <v>11</v>
      </c>
      <c r="B30" s="18" t="s">
        <v>47</v>
      </c>
      <c r="C30" s="14">
        <v>14</v>
      </c>
      <c r="D30" s="36">
        <v>0.18476155</v>
      </c>
      <c r="E30" s="37">
        <v>0.18254363000000001</v>
      </c>
      <c r="F30" s="35">
        <v>0.17885493999999999</v>
      </c>
      <c r="G30" s="35">
        <v>0.18483536</v>
      </c>
      <c r="H30" s="35">
        <v>0.18529266</v>
      </c>
      <c r="I30" s="35">
        <v>0.19410478</v>
      </c>
      <c r="J30" s="35">
        <v>0.18319139000000001</v>
      </c>
      <c r="K30" s="35">
        <v>0.17879753000000001</v>
      </c>
      <c r="L30" s="35">
        <v>0.18474380000000001</v>
      </c>
      <c r="M30" s="35">
        <v>0.18521449000000001</v>
      </c>
      <c r="N30" s="35">
        <v>0.19963404000000001</v>
      </c>
      <c r="O30" s="35">
        <v>0.17946929</v>
      </c>
      <c r="P30" s="35">
        <v>0.17377535</v>
      </c>
      <c r="Q30" s="35">
        <v>0.18497079</v>
      </c>
      <c r="R30" s="35">
        <v>0.18463541999999999</v>
      </c>
      <c r="S30" s="35">
        <v>0.19493158999999999</v>
      </c>
      <c r="T30" s="35">
        <v>0.18241167999999999</v>
      </c>
      <c r="U30" s="35">
        <v>0.17738565000000001</v>
      </c>
      <c r="V30" s="35">
        <v>0.18688616</v>
      </c>
      <c r="W30" s="35">
        <v>0.18520608999999999</v>
      </c>
      <c r="X30" s="35">
        <v>0.19616375</v>
      </c>
      <c r="Y30" s="35">
        <v>0.18188002</v>
      </c>
      <c r="Z30" s="35">
        <v>0.17851784000000001</v>
      </c>
      <c r="AA30" s="35">
        <v>0.18413498</v>
      </c>
      <c r="AB30" s="35">
        <v>0.18466662</v>
      </c>
      <c r="AC30" s="35">
        <v>0.19587682000000001</v>
      </c>
      <c r="AD30" s="35">
        <v>0.1812077</v>
      </c>
      <c r="AE30" s="35">
        <v>0.17787380999999999</v>
      </c>
      <c r="AF30" s="35">
        <v>0.18342436000000001</v>
      </c>
      <c r="AG30" s="35">
        <v>0.1962294</v>
      </c>
      <c r="AH30" s="35">
        <v>0.18207224999999999</v>
      </c>
      <c r="AI30" s="35">
        <v>0.1775272</v>
      </c>
      <c r="AJ30" s="35">
        <v>0.18388159000000001</v>
      </c>
      <c r="AK30" s="35">
        <v>0.18392966999999999</v>
      </c>
      <c r="AL30" s="35">
        <v>0.19565355000000001</v>
      </c>
      <c r="AM30" s="35">
        <v>0.18152636999999999</v>
      </c>
      <c r="AN30" s="35">
        <v>0.17853002000000001</v>
      </c>
      <c r="AO30" s="35">
        <v>0.18348055999999999</v>
      </c>
      <c r="AP30" s="35">
        <v>0.18477743999999999</v>
      </c>
      <c r="AQ30" s="35">
        <v>0.19556135999999999</v>
      </c>
      <c r="AR30" s="35">
        <v>0.18066167999999999</v>
      </c>
      <c r="AS30" s="35">
        <v>0.17744169000000001</v>
      </c>
      <c r="AT30" s="35">
        <v>0.18421282999999999</v>
      </c>
      <c r="AU30" s="35">
        <v>0.18499555000000001</v>
      </c>
      <c r="AV30" s="35">
        <v>0.19379072</v>
      </c>
      <c r="AW30" s="35">
        <v>0.17569333000000001</v>
      </c>
      <c r="AX30" s="35">
        <v>0.19404966000000001</v>
      </c>
      <c r="AY30" s="35">
        <v>0.18093796000000001</v>
      </c>
      <c r="AZ30" s="35">
        <v>0.18320829</v>
      </c>
      <c r="BA30" s="35">
        <v>0.17901996000000001</v>
      </c>
      <c r="BB30" s="35">
        <v>0.18477426999999999</v>
      </c>
      <c r="BC30" s="35">
        <v>0.19142099000000001</v>
      </c>
      <c r="BD30" s="35">
        <v>0.1790004</v>
      </c>
      <c r="BE30" s="35">
        <v>0.18561463</v>
      </c>
      <c r="BF30" s="35">
        <v>0.18628866999999999</v>
      </c>
      <c r="BG30" s="35">
        <v>0.19549347</v>
      </c>
      <c r="BH30" s="35">
        <v>0.18137026000000001</v>
      </c>
      <c r="BI30" s="35">
        <v>0.17862236000000001</v>
      </c>
      <c r="BJ30" s="35">
        <v>0.18590630999999999</v>
      </c>
      <c r="BK30" s="35">
        <v>0.18451187999999999</v>
      </c>
      <c r="BL30" s="35">
        <v>0.19746079</v>
      </c>
      <c r="BM30" s="35">
        <v>0.17253014</v>
      </c>
      <c r="BN30" s="35">
        <v>0.18480948</v>
      </c>
      <c r="BO30" s="35">
        <v>0.18494406999999999</v>
      </c>
      <c r="BP30" s="35">
        <v>0.19860728999999999</v>
      </c>
      <c r="BQ30" s="35">
        <v>0.18035961</v>
      </c>
      <c r="BR30" s="35">
        <v>0.17587522999999999</v>
      </c>
      <c r="BS30" s="35">
        <v>0.18490000000000001</v>
      </c>
      <c r="BT30" s="35">
        <v>0.18432654000000001</v>
      </c>
      <c r="BU30" s="35">
        <v>0.19823954999999999</v>
      </c>
      <c r="BV30" s="35">
        <v>0.17931358</v>
      </c>
      <c r="BW30" s="35">
        <v>0.17560785000000001</v>
      </c>
      <c r="BX30" s="35">
        <v>0.18507541</v>
      </c>
      <c r="BY30" s="35">
        <v>0.20160165999999999</v>
      </c>
      <c r="BZ30" s="35">
        <v>0.16593758</v>
      </c>
      <c r="CA30" s="35">
        <v>0.1844922</v>
      </c>
      <c r="CB30" s="35">
        <v>0.18519599</v>
      </c>
      <c r="CC30" s="35">
        <v>0.19775425999999999</v>
      </c>
      <c r="CD30" s="35">
        <v>0.1816335</v>
      </c>
      <c r="CE30" s="35">
        <v>0.17258235</v>
      </c>
      <c r="CF30" s="35">
        <v>0.18400174999999999</v>
      </c>
      <c r="CG30" s="35">
        <v>0.18512340999999999</v>
      </c>
      <c r="CH30" s="35">
        <v>0.19880481</v>
      </c>
      <c r="CI30" s="35">
        <v>0.18067374999999999</v>
      </c>
      <c r="CJ30" s="35">
        <v>0.17530047000000001</v>
      </c>
      <c r="CK30" s="35">
        <v>0.18399182</v>
      </c>
      <c r="CL30" s="35">
        <v>0.18485861000000001</v>
      </c>
      <c r="CM30" s="35">
        <v>0.19802476999999999</v>
      </c>
      <c r="CN30" s="35">
        <v>0.16946847000000001</v>
      </c>
      <c r="CO30" s="35">
        <v>0.18276980000000001</v>
      </c>
      <c r="CP30" s="35">
        <v>0.18456545999999999</v>
      </c>
      <c r="CQ30" s="35">
        <v>0.20033319999999999</v>
      </c>
      <c r="CR30" s="35">
        <v>0.17909198000000001</v>
      </c>
      <c r="CS30" s="35">
        <v>0.17403018000000001</v>
      </c>
      <c r="CT30" s="35">
        <v>0.18433008000000001</v>
      </c>
      <c r="CU30" s="35">
        <v>0.18532741</v>
      </c>
      <c r="CV30" s="35">
        <v>0.20399292999999999</v>
      </c>
      <c r="CW30" s="35">
        <v>0.17607895000000001</v>
      </c>
      <c r="CX30" s="35">
        <v>0.17005606000000001</v>
      </c>
      <c r="CY30" s="35">
        <v>0.18454193999999999</v>
      </c>
      <c r="CZ30" s="35">
        <v>0.1841179</v>
      </c>
      <c r="DA30" s="35">
        <v>0.19977839</v>
      </c>
      <c r="DB30" s="35">
        <v>0.18080906999999999</v>
      </c>
      <c r="DC30" s="35">
        <v>0.17229882999999999</v>
      </c>
      <c r="DD30" s="35">
        <v>0.18477584</v>
      </c>
      <c r="DE30" s="35">
        <v>0.18277942</v>
      </c>
      <c r="DF30" s="35">
        <v>0.20498526</v>
      </c>
      <c r="DG30" s="35">
        <v>0.17980415</v>
      </c>
      <c r="DH30" s="35">
        <v>0.16602104000000001</v>
      </c>
      <c r="DI30" s="35">
        <v>0.18483213000000001</v>
      </c>
      <c r="DJ30" s="35">
        <v>0.18476155</v>
      </c>
      <c r="DK30" s="35">
        <v>0.20898701</v>
      </c>
      <c r="DL30" s="35">
        <v>0.17616991000000001</v>
      </c>
      <c r="DM30" s="35">
        <v>0.17763947999999999</v>
      </c>
      <c r="DN30" s="35">
        <v>0.18502862</v>
      </c>
      <c r="DO30" s="35">
        <v>0.18526772999999999</v>
      </c>
      <c r="DP30" s="35">
        <v>0.19849578000000001</v>
      </c>
      <c r="DQ30" s="35">
        <v>0.18245342000000001</v>
      </c>
      <c r="DR30" s="35">
        <v>0.17428281000000001</v>
      </c>
      <c r="DS30" s="35">
        <v>0.18543253000000001</v>
      </c>
      <c r="DT30" s="35">
        <v>0.18442807999999999</v>
      </c>
      <c r="DU30" s="35">
        <v>0.19862228000000001</v>
      </c>
      <c r="DV30" s="35">
        <v>0.18055035</v>
      </c>
      <c r="DW30" s="35">
        <v>0.17515373000000001</v>
      </c>
      <c r="DX30" s="35">
        <v>0.18511546000000001</v>
      </c>
      <c r="DY30" s="35">
        <v>0.20281267</v>
      </c>
      <c r="DZ30" s="35">
        <v>0.18098840999999999</v>
      </c>
      <c r="EA30" s="35">
        <v>0.17621597</v>
      </c>
      <c r="EB30" s="35">
        <v>0.18464659999999999</v>
      </c>
      <c r="EC30" s="35">
        <v>0.18331364</v>
      </c>
      <c r="ED30" s="35">
        <v>0.19941312</v>
      </c>
      <c r="EE30" s="35">
        <v>0.18217333999999999</v>
      </c>
      <c r="EF30" s="35">
        <v>0.18903838000000001</v>
      </c>
      <c r="EG30" s="35">
        <v>0.17615394000000001</v>
      </c>
      <c r="EH30" s="35">
        <v>0.18098872999999999</v>
      </c>
      <c r="EI30" s="35">
        <v>0.19683455</v>
      </c>
      <c r="EJ30" s="35">
        <v>0.18270631000000001</v>
      </c>
      <c r="EK30" s="35">
        <v>0.17620457</v>
      </c>
      <c r="EL30" s="35">
        <v>0.18608825000000001</v>
      </c>
      <c r="EM30" s="35">
        <v>0.18423605000000001</v>
      </c>
      <c r="EN30" s="35">
        <v>0.19867494999999999</v>
      </c>
      <c r="EO30" s="35">
        <v>0.18311994000000001</v>
      </c>
      <c r="EP30" s="35">
        <v>0.17332499000000001</v>
      </c>
      <c r="EQ30" s="35">
        <v>0.19749759</v>
      </c>
      <c r="ER30" s="35">
        <v>0.18019795999999999</v>
      </c>
      <c r="ES30" s="35">
        <v>0.18331797999999999</v>
      </c>
      <c r="ET30" s="35">
        <v>0.17872166</v>
      </c>
      <c r="EU30" s="35">
        <v>0.18506346000000001</v>
      </c>
      <c r="EV30" s="35">
        <v>0.19727748000000001</v>
      </c>
      <c r="EW30" s="35">
        <v>0.17081746</v>
      </c>
      <c r="EX30" s="35">
        <v>0.18500906</v>
      </c>
      <c r="EY30" s="35">
        <v>0.19735889000000001</v>
      </c>
      <c r="EZ30" s="35">
        <v>0.18172762000000001</v>
      </c>
      <c r="FA30" s="35">
        <v>0.17753293000000001</v>
      </c>
      <c r="FB30" s="35">
        <v>0.18484457000000001</v>
      </c>
      <c r="FC30" s="35">
        <v>0.18377468</v>
      </c>
      <c r="FD30" s="35">
        <v>0.19842678999999999</v>
      </c>
      <c r="FE30" s="35">
        <v>0.18058763999999999</v>
      </c>
      <c r="FF30" s="35">
        <v>0.17538403</v>
      </c>
      <c r="FG30" s="35">
        <v>0.18400959</v>
      </c>
      <c r="FH30" s="35">
        <v>0.18607340999999999</v>
      </c>
      <c r="FI30" s="35">
        <v>0.2023885</v>
      </c>
      <c r="FJ30" s="35">
        <v>0.16650824</v>
      </c>
      <c r="FK30" s="35">
        <v>0.18394538999999999</v>
      </c>
      <c r="FL30" s="35">
        <v>0.18433884</v>
      </c>
      <c r="FM30" s="35">
        <v>0.19351120999999999</v>
      </c>
      <c r="FN30" s="35">
        <v>0.17482922000000001</v>
      </c>
      <c r="FO30" s="35">
        <v>0.18519873000000001</v>
      </c>
      <c r="FP30" s="35">
        <v>0.18540358000000001</v>
      </c>
      <c r="FQ30" s="35">
        <v>0.1968472</v>
      </c>
      <c r="FR30" s="35">
        <v>0.18166481000000001</v>
      </c>
      <c r="FS30" s="35">
        <v>0.17776942000000001</v>
      </c>
      <c r="FT30" s="35">
        <v>0.18502697000000001</v>
      </c>
      <c r="FU30" s="35">
        <v>0.18438302000000001</v>
      </c>
      <c r="FV30" s="35">
        <v>0.19572633</v>
      </c>
      <c r="FW30" s="35">
        <v>0.18130504</v>
      </c>
      <c r="FX30" s="35">
        <v>0.17818023999999999</v>
      </c>
      <c r="FY30" s="35">
        <v>0.18584023999999999</v>
      </c>
      <c r="FZ30" s="35">
        <v>0.18537269000000001</v>
      </c>
      <c r="GA30" s="35">
        <v>0.19625761999999999</v>
      </c>
      <c r="GB30" s="35">
        <v>0.18094458999999999</v>
      </c>
      <c r="GC30" s="35">
        <v>0.17737520000000001</v>
      </c>
      <c r="GD30" s="35">
        <v>0.18475269</v>
      </c>
      <c r="GE30" s="35">
        <v>0.18608909000000001</v>
      </c>
      <c r="GF30" s="35">
        <v>0.20106773999999999</v>
      </c>
      <c r="GG30" s="35">
        <v>0.16768394</v>
      </c>
      <c r="GH30" s="35">
        <v>0.18567444</v>
      </c>
      <c r="GI30" s="35">
        <v>0.19516813</v>
      </c>
      <c r="GJ30" s="35">
        <v>0.18127059000000001</v>
      </c>
      <c r="GK30" s="35">
        <v>0.17782213999999999</v>
      </c>
      <c r="GL30" s="35">
        <v>0.18533863</v>
      </c>
      <c r="GM30" s="35">
        <v>0.18658391999999999</v>
      </c>
      <c r="GN30" s="35">
        <v>0.19290022000000001</v>
      </c>
      <c r="GO30" s="35">
        <v>0.17846962999999999</v>
      </c>
      <c r="GP30" s="35">
        <v>0.18473201</v>
      </c>
      <c r="GQ30" s="35">
        <v>0.19463399000000001</v>
      </c>
      <c r="GR30" s="35">
        <v>0.18383822999999999</v>
      </c>
      <c r="GS30" s="35">
        <v>0.18047615</v>
      </c>
      <c r="GT30" s="35">
        <v>0.18337201</v>
      </c>
      <c r="GU30" s="35">
        <v>0.18619200999999999</v>
      </c>
      <c r="GV30" s="35">
        <v>0.19460558999999999</v>
      </c>
      <c r="GW30" s="35">
        <v>0.17133493999999999</v>
      </c>
      <c r="GX30" s="35">
        <v>0.16732496999999999</v>
      </c>
      <c r="GY30" s="35">
        <v>0.19219476999999999</v>
      </c>
      <c r="GZ30" s="35">
        <v>0.20948243</v>
      </c>
      <c r="HA30" s="35">
        <v>0.19210546000000001</v>
      </c>
      <c r="HB30" s="35">
        <v>0.18813692000000001</v>
      </c>
      <c r="HC30" s="35">
        <v>0.17975868</v>
      </c>
      <c r="HD30" s="35">
        <v>0.18512966</v>
      </c>
      <c r="HE30" s="35">
        <v>0.18441635000000001</v>
      </c>
      <c r="HF30" s="35">
        <v>0.19437976000000001</v>
      </c>
      <c r="HG30" s="35">
        <v>0.1811063</v>
      </c>
      <c r="HH30" s="35">
        <v>0.17922705</v>
      </c>
      <c r="HI30" s="35">
        <v>0.18368908</v>
      </c>
      <c r="HJ30" s="35">
        <v>0.18503644</v>
      </c>
      <c r="HK30" s="35">
        <v>0.19423114999999999</v>
      </c>
      <c r="HL30" s="35">
        <v>0.18112557000000001</v>
      </c>
      <c r="HM30" s="35">
        <v>0.17773862000000001</v>
      </c>
      <c r="HN30" s="35">
        <v>0.18412904999999999</v>
      </c>
      <c r="HO30" s="35">
        <v>0.18524025</v>
      </c>
      <c r="HP30" s="35">
        <v>0.19300796000000001</v>
      </c>
      <c r="HQ30" s="35">
        <v>0.18274884</v>
      </c>
      <c r="HR30" s="35">
        <v>0.17862026</v>
      </c>
      <c r="HS30" s="35">
        <v>0.18452690999999999</v>
      </c>
      <c r="HT30" s="35">
        <v>0.18415653000000001</v>
      </c>
      <c r="HU30" s="35">
        <v>0.19190666000000001</v>
      </c>
      <c r="HV30" s="35">
        <v>0.17761066</v>
      </c>
      <c r="HW30" s="35">
        <v>0.18430014</v>
      </c>
      <c r="HX30" s="35">
        <v>0.18472000999999999</v>
      </c>
      <c r="HY30" s="35">
        <v>0.192442</v>
      </c>
      <c r="HZ30" s="35">
        <v>0.18445716000000001</v>
      </c>
      <c r="IA30" s="35">
        <v>0.17778095999999999</v>
      </c>
      <c r="IB30" s="35">
        <v>0.18456886</v>
      </c>
      <c r="IC30" s="35">
        <v>0.18479818000000001</v>
      </c>
      <c r="ID30" s="35">
        <v>0.19277648999999999</v>
      </c>
      <c r="IE30" s="35">
        <v>0.18165755</v>
      </c>
      <c r="IF30" s="35">
        <v>0.17966499</v>
      </c>
      <c r="IG30" s="35">
        <v>0.18481114000000001</v>
      </c>
      <c r="IH30" s="35">
        <v>0.18476723</v>
      </c>
      <c r="II30" s="35">
        <v>0.19247017999999999</v>
      </c>
      <c r="IJ30" s="35">
        <v>0.18190202999999999</v>
      </c>
      <c r="IK30" s="35">
        <v>0.17936357999999999</v>
      </c>
      <c r="IL30" s="35">
        <v>0.18443915</v>
      </c>
      <c r="IM30" s="35">
        <v>0.18479572</v>
      </c>
      <c r="IN30" s="35">
        <v>0.19341159999999999</v>
      </c>
      <c r="IO30" s="35">
        <v>0.18213071</v>
      </c>
      <c r="IP30" s="35">
        <v>0.17874717000000001</v>
      </c>
      <c r="IQ30" s="35">
        <v>0.18414474</v>
      </c>
      <c r="IR30" s="35">
        <v>0.18540519999999999</v>
      </c>
      <c r="IS30" s="35">
        <v>0.19688942000000001</v>
      </c>
      <c r="IT30" s="35">
        <v>0.17853279</v>
      </c>
      <c r="IU30" s="35">
        <v>0.17748396</v>
      </c>
      <c r="IV30" s="35">
        <v>0.18479292999999999</v>
      </c>
      <c r="IW30" s="35">
        <v>0.23129285999999999</v>
      </c>
      <c r="IX30" s="35">
        <v>0.22502723999999999</v>
      </c>
      <c r="IY30" s="35">
        <v>0.17335476</v>
      </c>
      <c r="IZ30" s="35">
        <v>0.15508906</v>
      </c>
      <c r="JA30" s="35">
        <v>0.18276317</v>
      </c>
      <c r="JB30" s="35">
        <v>0.22646392000000001</v>
      </c>
      <c r="JC30" s="35">
        <v>0.16953277</v>
      </c>
      <c r="JD30" s="35">
        <v>0.15807499999999999</v>
      </c>
      <c r="JK30" s="21"/>
      <c r="JL30" s="21"/>
      <c r="JM30" s="20"/>
      <c r="JN30" s="35"/>
      <c r="JO30" s="35"/>
      <c r="JP30" s="35"/>
      <c r="JQ30" s="41"/>
      <c r="JR30" s="35"/>
      <c r="JS30" s="35"/>
      <c r="JT30" s="35"/>
      <c r="JU30" s="35"/>
      <c r="JV30" s="35"/>
      <c r="JW30" s="35"/>
    </row>
    <row r="31" spans="1:283" ht="13.8" x14ac:dyDescent="0.3">
      <c r="A31" s="19" t="s">
        <v>11</v>
      </c>
      <c r="B31" s="18" t="s">
        <v>47</v>
      </c>
      <c r="C31" s="14">
        <v>90</v>
      </c>
      <c r="D31" s="36">
        <v>0.73334593000000003</v>
      </c>
      <c r="E31" s="37">
        <v>0.73310582000000002</v>
      </c>
      <c r="F31" s="35">
        <v>0.72641823000000005</v>
      </c>
      <c r="G31" s="35">
        <v>0.72665676999999995</v>
      </c>
      <c r="H31" s="35">
        <v>0.73320417999999998</v>
      </c>
      <c r="I31" s="35">
        <v>0.74490900999999998</v>
      </c>
      <c r="J31" s="35">
        <v>0.73557304000000001</v>
      </c>
      <c r="K31" s="35">
        <v>0.72710224000000001</v>
      </c>
      <c r="L31" s="35">
        <v>0.72769539999999999</v>
      </c>
      <c r="M31" s="35">
        <v>0.73652903999999997</v>
      </c>
      <c r="N31" s="35">
        <v>0.75108070999999998</v>
      </c>
      <c r="O31" s="35">
        <v>0.73319380999999995</v>
      </c>
      <c r="P31" s="35">
        <v>0.71814829999999996</v>
      </c>
      <c r="Q31" s="35">
        <v>0.73668412999999999</v>
      </c>
      <c r="R31" s="35">
        <v>0.72703938999999995</v>
      </c>
      <c r="S31" s="35">
        <v>0.74810164999999995</v>
      </c>
      <c r="T31" s="35">
        <v>0.73113669999999997</v>
      </c>
      <c r="U31" s="35">
        <v>0.72403368999999995</v>
      </c>
      <c r="V31" s="35">
        <v>0.73961224999999997</v>
      </c>
      <c r="W31" s="35">
        <v>0.72860029999999998</v>
      </c>
      <c r="X31" s="35">
        <v>0.74697901</v>
      </c>
      <c r="Y31" s="35">
        <v>0.73400330000000003</v>
      </c>
      <c r="Z31" s="35">
        <v>0.72679611</v>
      </c>
      <c r="AA31" s="35">
        <v>0.73887749999999996</v>
      </c>
      <c r="AB31" s="35">
        <v>0.72476982000000001</v>
      </c>
      <c r="AC31" s="35">
        <v>0.74657032000000001</v>
      </c>
      <c r="AD31" s="35">
        <v>0.73317578000000005</v>
      </c>
      <c r="AE31" s="35">
        <v>0.72467300000000001</v>
      </c>
      <c r="AF31" s="35">
        <v>0.72947346000000002</v>
      </c>
      <c r="AG31" s="35">
        <v>0.74488226000000002</v>
      </c>
      <c r="AH31" s="35">
        <v>0.73054489</v>
      </c>
      <c r="AI31" s="35">
        <v>0.72622293000000004</v>
      </c>
      <c r="AJ31" s="35">
        <v>0.72626035</v>
      </c>
      <c r="AK31" s="35">
        <v>0.73360340999999996</v>
      </c>
      <c r="AL31" s="35">
        <v>0.74561279999999996</v>
      </c>
      <c r="AM31" s="35">
        <v>0.73324204999999998</v>
      </c>
      <c r="AN31" s="35">
        <v>0.72693268</v>
      </c>
      <c r="AO31" s="35">
        <v>0.72732377999999998</v>
      </c>
      <c r="AP31" s="35">
        <v>0.73204124999999998</v>
      </c>
      <c r="AQ31" s="35">
        <v>0.74601532000000004</v>
      </c>
      <c r="AR31" s="35">
        <v>0.73278993000000003</v>
      </c>
      <c r="AS31" s="35">
        <v>0.72523839999999995</v>
      </c>
      <c r="AT31" s="35">
        <v>0.72753849999999998</v>
      </c>
      <c r="AU31" s="35">
        <v>0.73271242999999997</v>
      </c>
      <c r="AV31" s="35">
        <v>0.75065026999999995</v>
      </c>
      <c r="AW31" s="35">
        <v>0.71663200999999999</v>
      </c>
      <c r="AX31" s="35">
        <v>0.74681558000000003</v>
      </c>
      <c r="AY31" s="35">
        <v>0.73252972999999999</v>
      </c>
      <c r="AZ31" s="35">
        <v>0.71775865999999999</v>
      </c>
      <c r="BA31" s="35">
        <v>0.73519380999999995</v>
      </c>
      <c r="BB31" s="35">
        <v>0.73315023000000001</v>
      </c>
      <c r="BC31" s="35">
        <v>0.74391742999999999</v>
      </c>
      <c r="BD31" s="35">
        <v>0.72445475999999998</v>
      </c>
      <c r="BE31" s="35">
        <v>0.73636451999999997</v>
      </c>
      <c r="BF31" s="35">
        <v>0.72812969999999999</v>
      </c>
      <c r="BG31" s="35">
        <v>0.74427399000000005</v>
      </c>
      <c r="BH31" s="35">
        <v>0.73116477999999996</v>
      </c>
      <c r="BI31" s="35">
        <v>0.72335702999999996</v>
      </c>
      <c r="BJ31" s="35">
        <v>0.73546557999999995</v>
      </c>
      <c r="BK31" s="35">
        <v>0.7292824</v>
      </c>
      <c r="BL31" s="35">
        <v>0.74500102999999995</v>
      </c>
      <c r="BM31" s="35">
        <v>0.72491930000000004</v>
      </c>
      <c r="BN31" s="35">
        <v>0.73612166999999995</v>
      </c>
      <c r="BO31" s="35">
        <v>0.72848886999999996</v>
      </c>
      <c r="BP31" s="35">
        <v>0.74418541999999999</v>
      </c>
      <c r="BQ31" s="35">
        <v>0.73032065000000002</v>
      </c>
      <c r="BR31" s="35">
        <v>0.72605832000000003</v>
      </c>
      <c r="BS31" s="35">
        <v>0.73368897</v>
      </c>
      <c r="BT31" s="35">
        <v>0.71659103000000002</v>
      </c>
      <c r="BU31" s="35">
        <v>0.74441983</v>
      </c>
      <c r="BV31" s="35">
        <v>0.73348126000000002</v>
      </c>
      <c r="BW31" s="35">
        <v>0.72155334999999998</v>
      </c>
      <c r="BX31" s="35">
        <v>0.73443800000000004</v>
      </c>
      <c r="BY31" s="35">
        <v>0.75244767999999995</v>
      </c>
      <c r="BZ31" s="35">
        <v>0.71478295000000003</v>
      </c>
      <c r="CA31" s="35">
        <v>0.73197946999999997</v>
      </c>
      <c r="CB31" s="35">
        <v>0.73177424000000002</v>
      </c>
      <c r="CC31" s="35">
        <v>0.74357786999999997</v>
      </c>
      <c r="CD31" s="35">
        <v>0.73307602999999999</v>
      </c>
      <c r="CE31" s="35">
        <v>0.71747055000000004</v>
      </c>
      <c r="CF31" s="35">
        <v>0.72998235</v>
      </c>
      <c r="CG31" s="35">
        <v>0.73108552999999998</v>
      </c>
      <c r="CH31" s="35">
        <v>0.74648086000000002</v>
      </c>
      <c r="CI31" s="35">
        <v>0.73253305999999996</v>
      </c>
      <c r="CJ31" s="35">
        <v>0.71714423999999999</v>
      </c>
      <c r="CK31" s="35">
        <v>0.72767672999999999</v>
      </c>
      <c r="CL31" s="35">
        <v>0.72973100999999996</v>
      </c>
      <c r="CM31" s="35">
        <v>0.74227120000000002</v>
      </c>
      <c r="CN31" s="35">
        <v>0.71337905000000001</v>
      </c>
      <c r="CO31" s="35">
        <v>0.73361030000000005</v>
      </c>
      <c r="CP31" s="35">
        <v>0.7317129</v>
      </c>
      <c r="CQ31" s="35">
        <v>0.74782305999999998</v>
      </c>
      <c r="CR31" s="35">
        <v>0.73205821000000004</v>
      </c>
      <c r="CS31" s="35">
        <v>0.72101535999999999</v>
      </c>
      <c r="CT31" s="35">
        <v>0.73326365999999998</v>
      </c>
      <c r="CU31" s="35">
        <v>0.73274961000000005</v>
      </c>
      <c r="CV31" s="35">
        <v>0.75266714000000001</v>
      </c>
      <c r="CW31" s="35">
        <v>0.72489440999999999</v>
      </c>
      <c r="CX31" s="35">
        <v>0.70763321999999995</v>
      </c>
      <c r="CY31" s="35">
        <v>0.73089652999999999</v>
      </c>
      <c r="CZ31" s="35">
        <v>0.73206649000000001</v>
      </c>
      <c r="DA31" s="35">
        <v>0.74428830999999995</v>
      </c>
      <c r="DB31" s="35">
        <v>0.73210295000000003</v>
      </c>
      <c r="DC31" s="35">
        <v>0.72097933999999997</v>
      </c>
      <c r="DD31" s="35">
        <v>0.73299966999999999</v>
      </c>
      <c r="DE31" s="35">
        <v>0.73916132000000001</v>
      </c>
      <c r="DF31" s="35">
        <v>0.75321645000000004</v>
      </c>
      <c r="DG31" s="35">
        <v>0.72914572</v>
      </c>
      <c r="DH31" s="35">
        <v>0.71678019999999998</v>
      </c>
      <c r="DI31" s="35">
        <v>0.73660778999999998</v>
      </c>
      <c r="DJ31" s="35">
        <v>0.73336630000000003</v>
      </c>
      <c r="DK31" s="35">
        <v>0.75402599999999997</v>
      </c>
      <c r="DL31" s="35">
        <v>0.73599309999999996</v>
      </c>
      <c r="DM31" s="35">
        <v>0.72234896999999998</v>
      </c>
      <c r="DN31" s="35">
        <v>0.72750815000000002</v>
      </c>
      <c r="DO31" s="35">
        <v>0.73710237999999995</v>
      </c>
      <c r="DP31" s="35">
        <v>0.75335923000000005</v>
      </c>
      <c r="DQ31" s="35">
        <v>0.73721813999999997</v>
      </c>
      <c r="DR31" s="35">
        <v>0.73098806999999999</v>
      </c>
      <c r="DS31" s="35">
        <v>0.73633071999999999</v>
      </c>
      <c r="DT31" s="35">
        <v>0.73956027999999996</v>
      </c>
      <c r="DU31" s="35">
        <v>0.74881328999999996</v>
      </c>
      <c r="DV31" s="35">
        <v>0.73959571000000002</v>
      </c>
      <c r="DW31" s="35">
        <v>0.72241383999999997</v>
      </c>
      <c r="DX31" s="35">
        <v>0.73273076999999998</v>
      </c>
      <c r="DY31" s="35">
        <v>0.75220091</v>
      </c>
      <c r="DZ31" s="35">
        <v>0.73551363999999997</v>
      </c>
      <c r="EA31" s="35">
        <v>0.72473942999999996</v>
      </c>
      <c r="EB31" s="35">
        <v>0.72618037999999996</v>
      </c>
      <c r="EC31" s="35">
        <v>0.73493947999999998</v>
      </c>
      <c r="ED31" s="35">
        <v>0.74994481999999996</v>
      </c>
      <c r="EE31" s="35">
        <v>0.74495794000000004</v>
      </c>
      <c r="EF31" s="35">
        <v>0.74503509999999995</v>
      </c>
      <c r="EG31" s="35">
        <v>0.72584985000000002</v>
      </c>
      <c r="EH31" s="35">
        <v>0.73301481000000002</v>
      </c>
      <c r="EI31" s="35">
        <v>0.75287229</v>
      </c>
      <c r="EJ31" s="35">
        <v>0.74117783999999998</v>
      </c>
      <c r="EK31" s="35">
        <v>0.73588332999999995</v>
      </c>
      <c r="EL31" s="35">
        <v>0.74070972999999996</v>
      </c>
      <c r="EM31" s="35">
        <v>0.74173931000000004</v>
      </c>
      <c r="EN31" s="35">
        <v>0.74713187000000003</v>
      </c>
      <c r="EO31" s="35">
        <v>0.74941639999999998</v>
      </c>
      <c r="EP31" s="35">
        <v>0.72542364999999998</v>
      </c>
      <c r="EQ31" s="35">
        <v>0.75437768000000005</v>
      </c>
      <c r="ER31" s="35">
        <v>0.73778653999999999</v>
      </c>
      <c r="ES31" s="35">
        <v>0.72595052999999998</v>
      </c>
      <c r="ET31" s="35">
        <v>0.73500317999999998</v>
      </c>
      <c r="EU31" s="35">
        <v>0.73699506999999997</v>
      </c>
      <c r="EV31" s="35">
        <v>0.74518242000000001</v>
      </c>
      <c r="EW31" s="35">
        <v>0.72904360999999995</v>
      </c>
      <c r="EX31" s="35">
        <v>0.73548899000000001</v>
      </c>
      <c r="EY31" s="35">
        <v>0.74631537000000003</v>
      </c>
      <c r="EZ31" s="35">
        <v>0.73718905999999995</v>
      </c>
      <c r="FA31" s="35">
        <v>0.73119721999999998</v>
      </c>
      <c r="FB31" s="35">
        <v>0.73042355999999997</v>
      </c>
      <c r="FC31" s="35">
        <v>0.73575075000000001</v>
      </c>
      <c r="FD31" s="35">
        <v>0.74531784000000001</v>
      </c>
      <c r="FE31" s="35">
        <v>0.73411746</v>
      </c>
      <c r="FF31" s="35">
        <v>0.73221406</v>
      </c>
      <c r="FG31" s="35">
        <v>0.72912737999999999</v>
      </c>
      <c r="FH31" s="35">
        <v>0.7376511</v>
      </c>
      <c r="FI31" s="35">
        <v>0.74926957999999999</v>
      </c>
      <c r="FJ31" s="35">
        <v>0.73484265999999998</v>
      </c>
      <c r="FK31" s="35">
        <v>0.73638066999999996</v>
      </c>
      <c r="FL31" s="35">
        <v>0.73529728000000005</v>
      </c>
      <c r="FM31" s="35">
        <v>0.74868018000000003</v>
      </c>
      <c r="FN31" s="35">
        <v>0.72880089000000003</v>
      </c>
      <c r="FO31" s="35">
        <v>0.73811729000000004</v>
      </c>
      <c r="FP31" s="35">
        <v>0.73571728999999997</v>
      </c>
      <c r="FQ31" s="35">
        <v>0.74282923999999995</v>
      </c>
      <c r="FR31" s="35">
        <v>0.73496280000000003</v>
      </c>
      <c r="FS31" s="35">
        <v>0.73519131999999998</v>
      </c>
      <c r="FT31" s="35">
        <v>0.73494886000000004</v>
      </c>
      <c r="FU31" s="35">
        <v>0.73491289000000004</v>
      </c>
      <c r="FV31" s="35">
        <v>0.74285060000000003</v>
      </c>
      <c r="FW31" s="35">
        <v>0.73371635999999996</v>
      </c>
      <c r="FX31" s="35">
        <v>0.72592151000000005</v>
      </c>
      <c r="FY31" s="35">
        <v>0.73704466000000002</v>
      </c>
      <c r="FZ31" s="35">
        <v>0.73657211</v>
      </c>
      <c r="GA31" s="35">
        <v>0.75122288999999998</v>
      </c>
      <c r="GB31" s="35">
        <v>0.73396625999999998</v>
      </c>
      <c r="GC31" s="35">
        <v>0.72672068999999995</v>
      </c>
      <c r="GD31" s="35">
        <v>0.73272636999999996</v>
      </c>
      <c r="GE31" s="35">
        <v>0.73912694000000001</v>
      </c>
      <c r="GF31" s="35">
        <v>0.75035991999999996</v>
      </c>
      <c r="GG31" s="35">
        <v>0.73055104000000004</v>
      </c>
      <c r="GH31" s="35">
        <v>0.73654487999999996</v>
      </c>
      <c r="GI31" s="35">
        <v>0.74158690999999999</v>
      </c>
      <c r="GJ31" s="35">
        <v>0.73484463</v>
      </c>
      <c r="GK31" s="35">
        <v>0.73018106999999999</v>
      </c>
      <c r="GL31" s="35">
        <v>0.73543892</v>
      </c>
      <c r="GM31" s="35">
        <v>0.73526572000000001</v>
      </c>
      <c r="GN31" s="35">
        <v>0.75129794999999999</v>
      </c>
      <c r="GO31" s="35">
        <v>0.73120883000000003</v>
      </c>
      <c r="GP31" s="35">
        <v>0.73478752000000003</v>
      </c>
      <c r="GQ31" s="35">
        <v>0.73710502</v>
      </c>
      <c r="GR31" s="35">
        <v>0.73739579</v>
      </c>
      <c r="GS31" s="35">
        <v>0.73590597999999996</v>
      </c>
      <c r="GT31" s="35">
        <v>0.73275080000000004</v>
      </c>
      <c r="GU31" s="35">
        <v>0.73603375999999998</v>
      </c>
      <c r="GV31" s="35">
        <v>0.73994912000000002</v>
      </c>
      <c r="GW31" s="35">
        <v>0.73372961999999997</v>
      </c>
      <c r="GX31" s="35">
        <v>0.72799882999999999</v>
      </c>
      <c r="GY31" s="35">
        <v>0.73720704000000004</v>
      </c>
      <c r="GZ31" s="35">
        <v>0.73851655000000005</v>
      </c>
      <c r="HA31" s="35">
        <v>0.73997563</v>
      </c>
      <c r="HB31" s="35">
        <v>0.73522281</v>
      </c>
      <c r="HC31" s="35">
        <v>0.73141305999999995</v>
      </c>
      <c r="HD31" s="35">
        <v>0.73667389000000005</v>
      </c>
      <c r="HE31" s="35">
        <v>0.73068522000000002</v>
      </c>
      <c r="HF31" s="35">
        <v>0.74213967000000003</v>
      </c>
      <c r="HG31" s="35">
        <v>0.73154819000000004</v>
      </c>
      <c r="HH31" s="35">
        <v>0.72842677</v>
      </c>
      <c r="HI31" s="35">
        <v>0.73428724999999995</v>
      </c>
      <c r="HJ31" s="35">
        <v>0.73225636000000005</v>
      </c>
      <c r="HK31" s="35">
        <v>0.74465082999999999</v>
      </c>
      <c r="HL31" s="35">
        <v>0.73417909000000003</v>
      </c>
      <c r="HM31" s="35">
        <v>0.73242525999999997</v>
      </c>
      <c r="HN31" s="35">
        <v>0.73722385000000001</v>
      </c>
      <c r="HO31" s="35">
        <v>0.73656710000000003</v>
      </c>
      <c r="HP31" s="35">
        <v>0.74399360999999997</v>
      </c>
      <c r="HQ31" s="35">
        <v>0.73298143999999998</v>
      </c>
      <c r="HR31" s="35">
        <v>0.73084415999999996</v>
      </c>
      <c r="HS31" s="35">
        <v>0.73501517999999999</v>
      </c>
      <c r="HT31" s="35">
        <v>0.73035563000000003</v>
      </c>
      <c r="HU31" s="35">
        <v>0.74113059999999997</v>
      </c>
      <c r="HV31" s="35">
        <v>0.72447364000000003</v>
      </c>
      <c r="HW31" s="35">
        <v>0.72837448000000005</v>
      </c>
      <c r="HX31" s="35">
        <v>0.73069616999999998</v>
      </c>
      <c r="HY31" s="35">
        <v>0.74547001000000002</v>
      </c>
      <c r="HZ31" s="35">
        <v>0.73449816000000001</v>
      </c>
      <c r="IA31" s="35">
        <v>0.73393416</v>
      </c>
      <c r="IB31" s="35">
        <v>0.72916758999999998</v>
      </c>
      <c r="IC31" s="35">
        <v>0.73297875000000001</v>
      </c>
      <c r="ID31" s="35">
        <v>0.73883217000000001</v>
      </c>
      <c r="IE31" s="35">
        <v>0.73194811000000004</v>
      </c>
      <c r="IF31" s="35">
        <v>0.73434389</v>
      </c>
      <c r="IG31" s="35">
        <v>0.73111159999999997</v>
      </c>
      <c r="IH31" s="35">
        <v>0.73239087999999997</v>
      </c>
      <c r="II31" s="35">
        <v>0.73689053999999998</v>
      </c>
      <c r="IJ31" s="35">
        <v>0.73291039000000002</v>
      </c>
      <c r="IK31" s="35">
        <v>0.73024964999999997</v>
      </c>
      <c r="IL31" s="35">
        <v>0.72820817000000004</v>
      </c>
      <c r="IM31" s="35">
        <v>0.73242231999999996</v>
      </c>
      <c r="IN31" s="35">
        <v>0.73903280999999998</v>
      </c>
      <c r="IO31" s="35">
        <v>0.73291238999999997</v>
      </c>
      <c r="IP31" s="35">
        <v>0.72917242000000004</v>
      </c>
      <c r="IQ31" s="35">
        <v>0.73031816999999999</v>
      </c>
      <c r="IR31" s="35">
        <v>0.73397774999999998</v>
      </c>
      <c r="IS31" s="35">
        <v>0.74124860999999997</v>
      </c>
      <c r="IT31" s="35">
        <v>0.73185964000000003</v>
      </c>
      <c r="IU31" s="35">
        <v>0.72792659999999998</v>
      </c>
      <c r="IV31" s="35">
        <v>0.73387899999999995</v>
      </c>
      <c r="IW31" s="35">
        <v>0.73158403000000005</v>
      </c>
      <c r="IX31" s="35">
        <v>0.74150753999999997</v>
      </c>
      <c r="IY31" s="35">
        <v>0.72896757999999995</v>
      </c>
      <c r="IZ31" s="35">
        <v>0.72726541</v>
      </c>
      <c r="JA31" s="35">
        <v>0.72937030000000003</v>
      </c>
      <c r="JB31" s="35">
        <v>0.73985140000000005</v>
      </c>
      <c r="JC31" s="35">
        <v>0.73036814000000005</v>
      </c>
      <c r="JD31" s="35">
        <v>0.72394194000000001</v>
      </c>
      <c r="JK31" s="21"/>
      <c r="JL31" s="21"/>
      <c r="JM31" s="20"/>
      <c r="JN31" s="35"/>
      <c r="JO31" s="35"/>
      <c r="JP31" s="35"/>
      <c r="JQ31" s="41"/>
      <c r="JR31" s="35"/>
      <c r="JS31" s="35"/>
      <c r="JT31" s="35"/>
      <c r="JU31" s="35"/>
      <c r="JV31" s="35"/>
      <c r="JW31" s="35"/>
    </row>
    <row r="32" spans="1:283" ht="13.8" x14ac:dyDescent="0.3">
      <c r="A32" s="19" t="s">
        <v>11</v>
      </c>
      <c r="B32" s="18" t="s">
        <v>47</v>
      </c>
      <c r="C32" s="14">
        <v>180</v>
      </c>
      <c r="D32" s="36">
        <v>0.68299650999999995</v>
      </c>
      <c r="E32" s="37">
        <v>0.68158673000000003</v>
      </c>
      <c r="F32" s="35">
        <v>0.67783293</v>
      </c>
      <c r="G32" s="35">
        <v>0.67123953999999997</v>
      </c>
      <c r="H32" s="35">
        <v>0.68154108999999996</v>
      </c>
      <c r="I32" s="35">
        <v>0.68754793000000003</v>
      </c>
      <c r="J32" s="35">
        <v>0.69222704000000002</v>
      </c>
      <c r="K32" s="35">
        <v>0.67622163999999996</v>
      </c>
      <c r="L32" s="35">
        <v>0.68086747000000003</v>
      </c>
      <c r="M32" s="35">
        <v>0.68716133999999995</v>
      </c>
      <c r="N32" s="35">
        <v>0.69412028000000003</v>
      </c>
      <c r="O32" s="35">
        <v>0.68395201000000005</v>
      </c>
      <c r="P32" s="35">
        <v>0.66842763999999999</v>
      </c>
      <c r="Q32" s="35">
        <v>0.68917892000000003</v>
      </c>
      <c r="R32" s="35">
        <v>0.67423548</v>
      </c>
      <c r="S32" s="35">
        <v>0.69320364999999995</v>
      </c>
      <c r="T32" s="35">
        <v>0.67967142000000003</v>
      </c>
      <c r="U32" s="35">
        <v>0.66892704000000003</v>
      </c>
      <c r="V32" s="35">
        <v>0.69165367</v>
      </c>
      <c r="W32" s="35">
        <v>0.68017715000000001</v>
      </c>
      <c r="X32" s="35">
        <v>0.69931416000000002</v>
      </c>
      <c r="Y32" s="35">
        <v>0.69019591999999996</v>
      </c>
      <c r="Z32" s="35">
        <v>0.67308920999999999</v>
      </c>
      <c r="AA32" s="35">
        <v>0.69820393000000003</v>
      </c>
      <c r="AB32" s="35">
        <v>0.67694597000000001</v>
      </c>
      <c r="AC32" s="35">
        <v>0.69591687999999996</v>
      </c>
      <c r="AD32" s="35">
        <v>0.68280233999999995</v>
      </c>
      <c r="AE32" s="35">
        <v>0.67788194999999996</v>
      </c>
      <c r="AF32" s="35">
        <v>0.68022464999999999</v>
      </c>
      <c r="AG32" s="35">
        <v>0.68823148999999995</v>
      </c>
      <c r="AH32" s="35">
        <v>0.68242882000000005</v>
      </c>
      <c r="AI32" s="35">
        <v>0.67615375</v>
      </c>
      <c r="AJ32" s="35">
        <v>0.67558355999999997</v>
      </c>
      <c r="AK32" s="35">
        <v>0.68559563000000001</v>
      </c>
      <c r="AL32" s="35">
        <v>0.69428855</v>
      </c>
      <c r="AM32" s="35">
        <v>0.68321796999999995</v>
      </c>
      <c r="AN32" s="35">
        <v>0.67856751000000004</v>
      </c>
      <c r="AO32" s="35">
        <v>0.67759561000000001</v>
      </c>
      <c r="AP32" s="35">
        <v>0.67906807000000002</v>
      </c>
      <c r="AQ32" s="35">
        <v>0.69758704999999999</v>
      </c>
      <c r="AR32" s="35">
        <v>0.68333575000000002</v>
      </c>
      <c r="AS32" s="35">
        <v>0.66738644000000003</v>
      </c>
      <c r="AT32" s="35">
        <v>0.67950326999999999</v>
      </c>
      <c r="AU32" s="35">
        <v>0.67698786</v>
      </c>
      <c r="AV32" s="35">
        <v>0.70002827000000001</v>
      </c>
      <c r="AW32" s="35">
        <v>0.67958081000000004</v>
      </c>
      <c r="AX32" s="35">
        <v>0.69734863000000002</v>
      </c>
      <c r="AY32" s="35">
        <v>0.68401268000000004</v>
      </c>
      <c r="AZ32" s="35">
        <v>0.67726374</v>
      </c>
      <c r="BA32" s="35">
        <v>0.68327358999999999</v>
      </c>
      <c r="BB32" s="35">
        <v>0.67618617000000003</v>
      </c>
      <c r="BC32" s="35">
        <v>0.6842587</v>
      </c>
      <c r="BD32" s="35">
        <v>0.67679171000000005</v>
      </c>
      <c r="BE32" s="35">
        <v>0.68577613000000004</v>
      </c>
      <c r="BF32" s="35">
        <v>0.68445436999999998</v>
      </c>
      <c r="BG32" s="35">
        <v>0.68849568000000005</v>
      </c>
      <c r="BH32" s="35">
        <v>0.67680651000000003</v>
      </c>
      <c r="BI32" s="35">
        <v>0.67558315999999996</v>
      </c>
      <c r="BJ32" s="35">
        <v>0.68425985</v>
      </c>
      <c r="BK32" s="35">
        <v>0.69454503000000001</v>
      </c>
      <c r="BL32" s="35">
        <v>0.68560502999999995</v>
      </c>
      <c r="BM32" s="35">
        <v>0.68462630000000002</v>
      </c>
      <c r="BN32" s="35">
        <v>0.67544663000000005</v>
      </c>
      <c r="BO32" s="35">
        <v>0.68861607000000002</v>
      </c>
      <c r="BP32" s="35">
        <v>0.69396159999999996</v>
      </c>
      <c r="BQ32" s="35">
        <v>0.68008192000000001</v>
      </c>
      <c r="BR32" s="35">
        <v>0.67345310000000003</v>
      </c>
      <c r="BS32" s="35">
        <v>0.67491161</v>
      </c>
      <c r="BT32" s="35">
        <v>0.67021923000000005</v>
      </c>
      <c r="BU32" s="35">
        <v>0.68526514999999999</v>
      </c>
      <c r="BV32" s="35">
        <v>0.68611909999999998</v>
      </c>
      <c r="BW32" s="35">
        <v>0.68056998000000002</v>
      </c>
      <c r="BX32" s="35">
        <v>0.68483026999999996</v>
      </c>
      <c r="BY32" s="35">
        <v>0.69105718999999999</v>
      </c>
      <c r="BZ32" s="35">
        <v>0.68024952000000005</v>
      </c>
      <c r="CA32" s="35">
        <v>0.68270861999999999</v>
      </c>
      <c r="CB32" s="35">
        <v>0.68473048000000003</v>
      </c>
      <c r="CC32" s="35">
        <v>0.68950414000000004</v>
      </c>
      <c r="CD32" s="35">
        <v>0.68562751</v>
      </c>
      <c r="CE32" s="35">
        <v>0.67389279999999996</v>
      </c>
      <c r="CF32" s="35">
        <v>0.68267460000000002</v>
      </c>
      <c r="CG32" s="35">
        <v>0.68446474999999996</v>
      </c>
      <c r="CH32" s="35">
        <v>0.69220698000000003</v>
      </c>
      <c r="CI32" s="35">
        <v>0.68889140000000004</v>
      </c>
      <c r="CJ32" s="35">
        <v>0.66262421999999999</v>
      </c>
      <c r="CK32" s="35">
        <v>0.67769400000000002</v>
      </c>
      <c r="CL32" s="35">
        <v>0.67614837000000005</v>
      </c>
      <c r="CM32" s="35">
        <v>0.68331567999999998</v>
      </c>
      <c r="CN32" s="35">
        <v>0.66479566999999995</v>
      </c>
      <c r="CO32" s="35">
        <v>0.6816797</v>
      </c>
      <c r="CP32" s="35">
        <v>0.68022229999999995</v>
      </c>
      <c r="CQ32" s="35">
        <v>0.69453872999999999</v>
      </c>
      <c r="CR32" s="35">
        <v>0.67300833999999998</v>
      </c>
      <c r="CS32" s="35">
        <v>0.68139340000000004</v>
      </c>
      <c r="CT32" s="35">
        <v>0.69052016000000005</v>
      </c>
      <c r="CU32" s="35">
        <v>0.68136929000000002</v>
      </c>
      <c r="CV32" s="35">
        <v>0.69959340000000003</v>
      </c>
      <c r="CW32" s="35">
        <v>0.67158180000000001</v>
      </c>
      <c r="CX32" s="35">
        <v>0.65168656000000003</v>
      </c>
      <c r="CY32" s="35">
        <v>0.67472264000000004</v>
      </c>
      <c r="CZ32" s="35">
        <v>0.68338646999999997</v>
      </c>
      <c r="DA32" s="35">
        <v>0.68396555999999997</v>
      </c>
      <c r="DB32" s="35">
        <v>0.67295150999999997</v>
      </c>
      <c r="DC32" s="35">
        <v>0.67582752999999995</v>
      </c>
      <c r="DD32" s="35">
        <v>0.67968183000000004</v>
      </c>
      <c r="DE32" s="35">
        <v>0.68861684999999995</v>
      </c>
      <c r="DF32" s="35">
        <v>0.69533634</v>
      </c>
      <c r="DG32" s="35">
        <v>0.67334448000000002</v>
      </c>
      <c r="DH32" s="35">
        <v>0.66339362999999996</v>
      </c>
      <c r="DI32" s="35">
        <v>0.68542572999999996</v>
      </c>
      <c r="DJ32" s="35">
        <v>0.68318493000000002</v>
      </c>
      <c r="DK32" s="35">
        <v>0.70386800999999999</v>
      </c>
      <c r="DL32" s="35">
        <v>0.68736775000000006</v>
      </c>
      <c r="DM32" s="35">
        <v>0.67890638999999997</v>
      </c>
      <c r="DN32" s="35">
        <v>0.67593161999999996</v>
      </c>
      <c r="DO32" s="35">
        <v>0.68508278</v>
      </c>
      <c r="DP32" s="35">
        <v>0.70335689999999995</v>
      </c>
      <c r="DQ32" s="35">
        <v>0.67983780000000005</v>
      </c>
      <c r="DR32" s="35">
        <v>0.68114971000000002</v>
      </c>
      <c r="DS32" s="35">
        <v>0.69864711000000002</v>
      </c>
      <c r="DT32" s="35">
        <v>0.69171358000000005</v>
      </c>
      <c r="DU32" s="35">
        <v>0.69829313999999998</v>
      </c>
      <c r="DV32" s="35">
        <v>0.73040503000000001</v>
      </c>
      <c r="DW32" s="35">
        <v>0.63171730000000004</v>
      </c>
      <c r="DX32" s="35">
        <v>0.68206849999999997</v>
      </c>
      <c r="DY32" s="35">
        <v>0.70267634000000001</v>
      </c>
      <c r="DZ32" s="35">
        <v>0.69559017999999995</v>
      </c>
      <c r="EA32" s="35">
        <v>0.66512145</v>
      </c>
      <c r="EB32" s="35">
        <v>0.64750713999999998</v>
      </c>
      <c r="EC32" s="35">
        <v>0.67378174000000002</v>
      </c>
      <c r="ED32" s="35">
        <v>0.68716091000000001</v>
      </c>
      <c r="EE32" s="35">
        <v>0.70239655999999995</v>
      </c>
      <c r="EF32" s="35">
        <v>0.68441319</v>
      </c>
      <c r="EG32" s="35">
        <v>0.68260007</v>
      </c>
      <c r="EH32" s="35">
        <v>0.67924541999999999</v>
      </c>
      <c r="EI32" s="35">
        <v>0.70485805000000001</v>
      </c>
      <c r="EJ32" s="35">
        <v>0.68055831</v>
      </c>
      <c r="EK32" s="35">
        <v>0.70081112999999995</v>
      </c>
      <c r="EL32" s="35">
        <v>0.69207728999999996</v>
      </c>
      <c r="EM32" s="35">
        <v>0.69898324999999994</v>
      </c>
      <c r="EN32" s="35">
        <v>0.68996862000000003</v>
      </c>
      <c r="EO32" s="35">
        <v>0.70787151999999998</v>
      </c>
      <c r="EP32" s="35">
        <v>0.68544231</v>
      </c>
      <c r="EQ32" s="35">
        <v>0.70538204000000004</v>
      </c>
      <c r="ER32" s="35">
        <v>0.69220329999999997</v>
      </c>
      <c r="ES32" s="35">
        <v>0.67250843999999999</v>
      </c>
      <c r="ET32" s="35">
        <v>0.68728467000000004</v>
      </c>
      <c r="EU32" s="35">
        <v>0.69159800000000005</v>
      </c>
      <c r="EV32" s="35">
        <v>0.69125117999999997</v>
      </c>
      <c r="EW32" s="35">
        <v>0.66554225</v>
      </c>
      <c r="EX32" s="35">
        <v>0.68466143999999995</v>
      </c>
      <c r="EY32" s="35">
        <v>0.69520194999999996</v>
      </c>
      <c r="EZ32" s="35">
        <v>0.68642616999999995</v>
      </c>
      <c r="FA32" s="35">
        <v>0.68522682999999995</v>
      </c>
      <c r="FB32" s="35">
        <v>0.67368620000000001</v>
      </c>
      <c r="FC32" s="35">
        <v>0.68741660999999998</v>
      </c>
      <c r="FD32" s="35">
        <v>0.69448549000000004</v>
      </c>
      <c r="FE32" s="35">
        <v>0.68058395999999999</v>
      </c>
      <c r="FF32" s="35">
        <v>0.68314547999999997</v>
      </c>
      <c r="FG32" s="35">
        <v>0.67193557999999998</v>
      </c>
      <c r="FH32" s="35">
        <v>0.68627598999999995</v>
      </c>
      <c r="FI32" s="35">
        <v>0.70054302999999996</v>
      </c>
      <c r="FJ32" s="35">
        <v>0.68026386000000005</v>
      </c>
      <c r="FK32" s="35">
        <v>0.67937435999999995</v>
      </c>
      <c r="FL32" s="35">
        <v>0.70749883000000002</v>
      </c>
      <c r="FM32" s="35">
        <v>0.69449998000000002</v>
      </c>
      <c r="FN32" s="35">
        <v>0.68233944999999996</v>
      </c>
      <c r="FO32" s="35">
        <v>0.69515996999999996</v>
      </c>
      <c r="FP32" s="35">
        <v>0.68211314000000001</v>
      </c>
      <c r="FQ32" s="35">
        <v>0.68440040000000002</v>
      </c>
      <c r="FR32" s="35">
        <v>0.67852456000000005</v>
      </c>
      <c r="FS32" s="35">
        <v>0.70312792999999996</v>
      </c>
      <c r="FT32" s="35">
        <v>0.67961590999999999</v>
      </c>
      <c r="FU32" s="35">
        <v>0.67938226000000002</v>
      </c>
      <c r="FV32" s="35">
        <v>0.68928062999999995</v>
      </c>
      <c r="FW32" s="35">
        <v>0.68321279000000001</v>
      </c>
      <c r="FX32" s="35">
        <v>0.66715891999999999</v>
      </c>
      <c r="FY32" s="35">
        <v>0.68455328999999998</v>
      </c>
      <c r="FZ32" s="35">
        <v>0.68267560999999999</v>
      </c>
      <c r="GA32" s="35">
        <v>0.71265668999999998</v>
      </c>
      <c r="GB32" s="35">
        <v>0.68782430000000006</v>
      </c>
      <c r="GC32" s="35">
        <v>0.67346307000000005</v>
      </c>
      <c r="GD32" s="35">
        <v>0.66636130000000005</v>
      </c>
      <c r="GE32" s="35">
        <v>0.69064042999999997</v>
      </c>
      <c r="GF32" s="35">
        <v>0.70330230000000005</v>
      </c>
      <c r="GG32" s="35">
        <v>0.69002357000000003</v>
      </c>
      <c r="GH32" s="35">
        <v>0.68467827999999997</v>
      </c>
      <c r="GI32" s="35">
        <v>0.68726050000000005</v>
      </c>
      <c r="GJ32" s="35">
        <v>0.68748016000000001</v>
      </c>
      <c r="GK32" s="35">
        <v>0.66507949</v>
      </c>
      <c r="GL32" s="35">
        <v>0.67993411000000004</v>
      </c>
      <c r="GM32" s="35">
        <v>0.6933395</v>
      </c>
      <c r="GN32" s="35">
        <v>0.72838941999999995</v>
      </c>
      <c r="GO32" s="35">
        <v>0.66624517000000005</v>
      </c>
      <c r="GP32" s="35">
        <v>0.68369060999999998</v>
      </c>
      <c r="GQ32" s="35">
        <v>0.67663852000000002</v>
      </c>
      <c r="GR32" s="35">
        <v>0.68203221000000003</v>
      </c>
      <c r="GS32" s="35">
        <v>0.71725024999999998</v>
      </c>
      <c r="GT32" s="35">
        <v>0.66542250000000003</v>
      </c>
      <c r="GU32" s="35">
        <v>0.69232680999999996</v>
      </c>
      <c r="GV32" s="35">
        <v>0.6871505</v>
      </c>
      <c r="GW32" s="35">
        <v>0.67421653000000004</v>
      </c>
      <c r="GX32" s="35">
        <v>0.67213873999999996</v>
      </c>
      <c r="GY32" s="35">
        <v>0.68260761999999997</v>
      </c>
      <c r="GZ32" s="35">
        <v>0.70056158000000002</v>
      </c>
      <c r="HA32" s="35">
        <v>0.68136045000000001</v>
      </c>
      <c r="HB32" s="35">
        <v>0.68508632999999997</v>
      </c>
      <c r="HC32" s="35">
        <v>0.68562714999999996</v>
      </c>
      <c r="HD32" s="35">
        <v>0.69138087999999998</v>
      </c>
      <c r="HE32" s="35">
        <v>0.67897149000000001</v>
      </c>
      <c r="HF32" s="35">
        <v>0.69624410999999997</v>
      </c>
      <c r="HG32" s="35">
        <v>0.67571749999999997</v>
      </c>
      <c r="HH32" s="35">
        <v>0.67169674000000001</v>
      </c>
      <c r="HI32" s="35">
        <v>0.67993804000000002</v>
      </c>
      <c r="HJ32" s="35">
        <v>0.67277339000000003</v>
      </c>
      <c r="HK32" s="35">
        <v>0.70856151000000001</v>
      </c>
      <c r="HL32" s="35">
        <v>0.68617207000000002</v>
      </c>
      <c r="HM32" s="35">
        <v>0.68025391000000002</v>
      </c>
      <c r="HN32" s="35">
        <v>0.67973227999999997</v>
      </c>
      <c r="HO32" s="35">
        <v>0.69008913000000005</v>
      </c>
      <c r="HP32" s="35">
        <v>0.70232170000000005</v>
      </c>
      <c r="HQ32" s="35">
        <v>0.68040643999999995</v>
      </c>
      <c r="HR32" s="35">
        <v>0.69472080000000003</v>
      </c>
      <c r="HS32" s="35">
        <v>0.67556384999999997</v>
      </c>
      <c r="HT32" s="35">
        <v>0.67733401000000004</v>
      </c>
      <c r="HU32" s="35">
        <v>0.69143589000000005</v>
      </c>
      <c r="HV32" s="35">
        <v>0.66676953000000005</v>
      </c>
      <c r="HW32" s="35">
        <v>0.67449908000000003</v>
      </c>
      <c r="HX32" s="35">
        <v>0.6748132</v>
      </c>
      <c r="HY32" s="35">
        <v>0.69997821999999998</v>
      </c>
      <c r="HZ32" s="35">
        <v>0.68589865000000005</v>
      </c>
      <c r="IA32" s="35">
        <v>0.69346536999999997</v>
      </c>
      <c r="IB32" s="35">
        <v>0.67692264999999996</v>
      </c>
      <c r="IC32" s="35">
        <v>0.67959018000000004</v>
      </c>
      <c r="ID32" s="35">
        <v>0.68973784000000005</v>
      </c>
      <c r="IE32" s="35">
        <v>0.67120254999999995</v>
      </c>
      <c r="IF32" s="35">
        <v>0.70125289000000002</v>
      </c>
      <c r="IG32" s="35">
        <v>0.68599653000000005</v>
      </c>
      <c r="IH32" s="35">
        <v>0.68229761</v>
      </c>
      <c r="II32" s="35">
        <v>0.68794038999999996</v>
      </c>
      <c r="IJ32" s="35">
        <v>0.68001416000000003</v>
      </c>
      <c r="IK32" s="35">
        <v>0.68573527999999995</v>
      </c>
      <c r="IL32" s="35">
        <v>0.67586796999999998</v>
      </c>
      <c r="IM32" s="35">
        <v>0.68260173999999996</v>
      </c>
      <c r="IN32" s="35">
        <v>0.68849249999999995</v>
      </c>
      <c r="IO32" s="35">
        <v>0.68298006</v>
      </c>
      <c r="IP32" s="35">
        <v>0.67841326999999996</v>
      </c>
      <c r="IQ32" s="35">
        <v>0.68162418000000002</v>
      </c>
      <c r="IR32" s="35">
        <v>0.68457869000000005</v>
      </c>
      <c r="IS32" s="35">
        <v>0.68513798999999997</v>
      </c>
      <c r="IT32" s="35">
        <v>0.68069325000000003</v>
      </c>
      <c r="IU32" s="35">
        <v>0.67944795000000002</v>
      </c>
      <c r="IV32" s="35">
        <v>0.68291290000000004</v>
      </c>
      <c r="IW32" s="35">
        <v>0.68324256999999999</v>
      </c>
      <c r="IX32" s="35">
        <v>0.69551905000000003</v>
      </c>
      <c r="IY32" s="35">
        <v>0.67300735</v>
      </c>
      <c r="IZ32" s="35">
        <v>0.68346969999999996</v>
      </c>
      <c r="JA32" s="35">
        <v>0.67934267000000004</v>
      </c>
      <c r="JB32" s="35">
        <v>0.69768803999999995</v>
      </c>
      <c r="JC32" s="35">
        <v>0.67722916</v>
      </c>
      <c r="JD32" s="35">
        <v>0.67185289999999998</v>
      </c>
      <c r="JK32" s="21"/>
      <c r="JL32" s="21"/>
      <c r="JM32" s="20"/>
      <c r="JN32" s="35"/>
      <c r="JO32" s="35"/>
      <c r="JP32" s="35"/>
      <c r="JQ32" s="41"/>
      <c r="JR32" s="35"/>
      <c r="JS32" s="35"/>
      <c r="JT32" s="35"/>
      <c r="JU32" s="35"/>
      <c r="JV32" s="35"/>
      <c r="JW32" s="35"/>
    </row>
    <row r="33" spans="1:283" ht="13.8" x14ac:dyDescent="0.3">
      <c r="A33" s="19" t="s">
        <v>11</v>
      </c>
      <c r="B33" s="18" t="s">
        <v>47</v>
      </c>
      <c r="C33" s="14">
        <v>270</v>
      </c>
      <c r="D33" s="36">
        <v>0.65814914000000002</v>
      </c>
      <c r="E33" s="37">
        <v>0.65571146999999996</v>
      </c>
      <c r="F33" s="35">
        <v>0.65453583999999998</v>
      </c>
      <c r="G33" s="35">
        <v>0.64193864</v>
      </c>
      <c r="H33" s="35">
        <v>0.65553927999999995</v>
      </c>
      <c r="I33" s="35">
        <v>0.65653879999999998</v>
      </c>
      <c r="J33" s="35">
        <v>0.67353419999999997</v>
      </c>
      <c r="K33" s="35">
        <v>0.65090747999999998</v>
      </c>
      <c r="L33" s="35">
        <v>0.65911474000000003</v>
      </c>
      <c r="M33" s="35">
        <v>0.66317669000000001</v>
      </c>
      <c r="N33" s="35">
        <v>0.66346322999999996</v>
      </c>
      <c r="O33" s="35">
        <v>0.66007800000000005</v>
      </c>
      <c r="P33" s="35">
        <v>0.64413281</v>
      </c>
      <c r="Q33" s="35">
        <v>0.66683101</v>
      </c>
      <c r="R33" s="35">
        <v>0.64723112999999999</v>
      </c>
      <c r="S33" s="35">
        <v>0.66435904000000001</v>
      </c>
      <c r="T33" s="35">
        <v>0.65384344000000005</v>
      </c>
      <c r="U33" s="35">
        <v>0.63989909</v>
      </c>
      <c r="V33" s="35">
        <v>0.66890735000000001</v>
      </c>
      <c r="W33" s="35">
        <v>0.65702256000000003</v>
      </c>
      <c r="X33" s="35">
        <v>0.67682595999999995</v>
      </c>
      <c r="Y33" s="35">
        <v>0.67109761000000001</v>
      </c>
      <c r="Z33" s="35">
        <v>0.64529133000000005</v>
      </c>
      <c r="AA33" s="35">
        <v>0.68185958000000002</v>
      </c>
      <c r="AB33" s="35">
        <v>0.65431802999999999</v>
      </c>
      <c r="AC33" s="35">
        <v>0.67080234000000005</v>
      </c>
      <c r="AD33" s="35">
        <v>0.65793385999999998</v>
      </c>
      <c r="AE33" s="35">
        <v>0.65616163000000005</v>
      </c>
      <c r="AF33" s="35">
        <v>0.65634448999999995</v>
      </c>
      <c r="AG33" s="35">
        <v>0.65784657999999996</v>
      </c>
      <c r="AH33" s="35">
        <v>0.65954409999999997</v>
      </c>
      <c r="AI33" s="35">
        <v>0.65155266000000001</v>
      </c>
      <c r="AJ33" s="35">
        <v>0.65044849999999999</v>
      </c>
      <c r="AK33" s="35">
        <v>0.66280605999999997</v>
      </c>
      <c r="AL33" s="35">
        <v>0.66858452000000002</v>
      </c>
      <c r="AM33" s="35">
        <v>0.65865649999999998</v>
      </c>
      <c r="AN33" s="35">
        <v>0.65546388</v>
      </c>
      <c r="AO33" s="35">
        <v>0.65329419</v>
      </c>
      <c r="AP33" s="35">
        <v>0.65191498000000003</v>
      </c>
      <c r="AQ33" s="35">
        <v>0.67442796999999999</v>
      </c>
      <c r="AR33" s="35">
        <v>0.6592751</v>
      </c>
      <c r="AS33" s="35">
        <v>0.63594592999999999</v>
      </c>
      <c r="AT33" s="35">
        <v>0.65668959000000005</v>
      </c>
      <c r="AU33" s="35">
        <v>0.64741687999999997</v>
      </c>
      <c r="AV33" s="35">
        <v>0.67494136999999998</v>
      </c>
      <c r="AW33" s="35">
        <v>0.66641976999999997</v>
      </c>
      <c r="AX33" s="35">
        <v>0.67327676000000003</v>
      </c>
      <c r="AY33" s="35">
        <v>0.66077556999999998</v>
      </c>
      <c r="AZ33" s="35">
        <v>0.66107638000000002</v>
      </c>
      <c r="BA33" s="35">
        <v>0.65704583000000005</v>
      </c>
      <c r="BB33" s="35">
        <v>0.64552593999999996</v>
      </c>
      <c r="BC33" s="35">
        <v>0.65123043000000003</v>
      </c>
      <c r="BD33" s="35">
        <v>0.65430509999999997</v>
      </c>
      <c r="BE33" s="35">
        <v>0.66071875999999996</v>
      </c>
      <c r="BF33" s="35">
        <v>0.66547210999999995</v>
      </c>
      <c r="BG33" s="35">
        <v>0.65887746000000003</v>
      </c>
      <c r="BH33" s="35">
        <v>0.64843620999999996</v>
      </c>
      <c r="BI33" s="35">
        <v>0.65299914999999997</v>
      </c>
      <c r="BJ33" s="35">
        <v>0.65865996000000004</v>
      </c>
      <c r="BK33" s="35">
        <v>0.68341733999999998</v>
      </c>
      <c r="BL33" s="35">
        <v>0.65280762999999997</v>
      </c>
      <c r="BM33" s="35">
        <v>0.6686164</v>
      </c>
      <c r="BN33" s="35">
        <v>0.64152524</v>
      </c>
      <c r="BO33" s="35">
        <v>0.67297541999999999</v>
      </c>
      <c r="BP33" s="35">
        <v>0.66922459999999995</v>
      </c>
      <c r="BQ33" s="35">
        <v>0.65533182000000001</v>
      </c>
      <c r="BR33" s="35">
        <v>0.64662337000000003</v>
      </c>
      <c r="BS33" s="35">
        <v>0.64265786000000003</v>
      </c>
      <c r="BT33" s="35">
        <v>0.64886734000000001</v>
      </c>
      <c r="BU33" s="35">
        <v>0.65267982999999996</v>
      </c>
      <c r="BV33" s="35">
        <v>0.66389690000000001</v>
      </c>
      <c r="BW33" s="35">
        <v>0.66395338000000004</v>
      </c>
      <c r="BX33" s="35">
        <v>0.66063468000000003</v>
      </c>
      <c r="BY33" s="35">
        <v>0.65650706999999997</v>
      </c>
      <c r="BZ33" s="35">
        <v>0.66930104999999995</v>
      </c>
      <c r="CA33" s="35">
        <v>0.65880908999999999</v>
      </c>
      <c r="CB33" s="35">
        <v>0.66278808</v>
      </c>
      <c r="CC33" s="35">
        <v>0.66138390000000002</v>
      </c>
      <c r="CD33" s="35">
        <v>0.66332941999999995</v>
      </c>
      <c r="CE33" s="35">
        <v>0.65499629999999998</v>
      </c>
      <c r="CF33" s="35">
        <v>0.66050021000000003</v>
      </c>
      <c r="CG33" s="35">
        <v>0.66289405999999995</v>
      </c>
      <c r="CH33" s="35">
        <v>0.66391084</v>
      </c>
      <c r="CI33" s="35">
        <v>0.66993873000000004</v>
      </c>
      <c r="CJ33" s="35">
        <v>0.63411178000000001</v>
      </c>
      <c r="CK33" s="35">
        <v>0.65316885999999996</v>
      </c>
      <c r="CL33" s="35">
        <v>0.64845969000000003</v>
      </c>
      <c r="CM33" s="35">
        <v>0.65090537999999998</v>
      </c>
      <c r="CN33" s="35">
        <v>0.64150026999999998</v>
      </c>
      <c r="CO33" s="35">
        <v>0.65544281000000004</v>
      </c>
      <c r="CP33" s="35">
        <v>0.65437206999999997</v>
      </c>
      <c r="CQ33" s="35">
        <v>0.66711220000000004</v>
      </c>
      <c r="CR33" s="35">
        <v>0.64051511999999999</v>
      </c>
      <c r="CS33" s="35">
        <v>0.66597320000000004</v>
      </c>
      <c r="CT33" s="35">
        <v>0.67235677999999999</v>
      </c>
      <c r="CU33" s="35">
        <v>0.65561597999999999</v>
      </c>
      <c r="CV33" s="35">
        <v>0.67235193000000004</v>
      </c>
      <c r="CW33" s="35">
        <v>0.64413041999999998</v>
      </c>
      <c r="CX33" s="35">
        <v>0.62192040000000004</v>
      </c>
      <c r="CY33" s="35">
        <v>0.64475678999999997</v>
      </c>
      <c r="CZ33" s="35">
        <v>0.66000614999999996</v>
      </c>
      <c r="DA33" s="35">
        <v>0.65035374000000001</v>
      </c>
      <c r="DB33" s="35">
        <v>0.64036903000000001</v>
      </c>
      <c r="DC33" s="35">
        <v>0.65554774999999998</v>
      </c>
      <c r="DD33" s="35">
        <v>0.65222585</v>
      </c>
      <c r="DE33" s="35">
        <v>0.66359807000000004</v>
      </c>
      <c r="DF33" s="35">
        <v>0.66387110000000005</v>
      </c>
      <c r="DG33" s="35">
        <v>0.64370612999999999</v>
      </c>
      <c r="DH33" s="35">
        <v>0.63587726</v>
      </c>
      <c r="DI33" s="35">
        <v>0.65984664000000004</v>
      </c>
      <c r="DJ33" s="35">
        <v>0.65848523999999997</v>
      </c>
      <c r="DK33" s="35">
        <v>0.67918886999999994</v>
      </c>
      <c r="DL33" s="35">
        <v>0.66403546999999996</v>
      </c>
      <c r="DM33" s="35">
        <v>0.66012866999999997</v>
      </c>
      <c r="DN33" s="35">
        <v>0.65000588000000004</v>
      </c>
      <c r="DO33" s="35">
        <v>0.65876767999999997</v>
      </c>
      <c r="DP33" s="35">
        <v>0.67881455000000002</v>
      </c>
      <c r="DQ33" s="35">
        <v>0.64881173000000003</v>
      </c>
      <c r="DR33" s="35">
        <v>0.65675145000000001</v>
      </c>
      <c r="DS33" s="35">
        <v>0.68493029000000005</v>
      </c>
      <c r="DT33" s="35">
        <v>0.66906557</v>
      </c>
      <c r="DU33" s="35">
        <v>0.67329572999999998</v>
      </c>
      <c r="DV33" s="35">
        <v>0.74172746000000001</v>
      </c>
      <c r="DW33" s="35">
        <v>0.57141337999999997</v>
      </c>
      <c r="DX33" s="35">
        <v>0.65694620999999997</v>
      </c>
      <c r="DY33" s="35">
        <v>0.67855383999999996</v>
      </c>
      <c r="DZ33" s="35">
        <v>0.67990501000000003</v>
      </c>
      <c r="EA33" s="35">
        <v>0.63212899</v>
      </c>
      <c r="EB33" s="35">
        <v>0.59776912999999998</v>
      </c>
      <c r="EC33" s="35">
        <v>0.63943614999999998</v>
      </c>
      <c r="ED33" s="35">
        <v>0.65138625999999999</v>
      </c>
      <c r="EE33" s="35">
        <v>0.68439322999999996</v>
      </c>
      <c r="EF33" s="35">
        <v>0.65053846999999998</v>
      </c>
      <c r="EG33" s="35">
        <v>0.66399178000000003</v>
      </c>
      <c r="EH33" s="35">
        <v>0.65139261000000004</v>
      </c>
      <c r="EI33" s="35">
        <v>0.68206279999999997</v>
      </c>
      <c r="EJ33" s="35">
        <v>0.64668568999999998</v>
      </c>
      <c r="EK33" s="35">
        <v>0.68938920000000004</v>
      </c>
      <c r="EL33" s="35">
        <v>0.66873879000000003</v>
      </c>
      <c r="EM33" s="35">
        <v>0.68080883999999997</v>
      </c>
      <c r="EN33" s="35">
        <v>0.65913332999999996</v>
      </c>
      <c r="EO33" s="35">
        <v>0.69076148000000004</v>
      </c>
      <c r="EP33" s="35">
        <v>0.66970629000000004</v>
      </c>
      <c r="EQ33" s="35">
        <v>0.68172434999999998</v>
      </c>
      <c r="ER33" s="35">
        <v>0.67154440000000004</v>
      </c>
      <c r="ES33" s="35">
        <v>0.64494328000000001</v>
      </c>
      <c r="ET33" s="35">
        <v>0.66474931000000004</v>
      </c>
      <c r="EU33" s="35">
        <v>0.67110269</v>
      </c>
      <c r="EV33" s="35">
        <v>0.66325615000000004</v>
      </c>
      <c r="EW33" s="35">
        <v>0.62913711999999999</v>
      </c>
      <c r="EX33" s="35">
        <v>0.65939389999999998</v>
      </c>
      <c r="EY33" s="35">
        <v>0.66968318999999998</v>
      </c>
      <c r="EZ33" s="35">
        <v>0.66121543999999999</v>
      </c>
      <c r="FA33" s="35">
        <v>0.66422769000000004</v>
      </c>
      <c r="FB33" s="35">
        <v>0.64322519</v>
      </c>
      <c r="FC33" s="35">
        <v>0.66434024999999997</v>
      </c>
      <c r="FD33" s="35">
        <v>0.66921372999999995</v>
      </c>
      <c r="FE33" s="35">
        <v>0.65293844999999995</v>
      </c>
      <c r="FF33" s="35">
        <v>0.65942369000000001</v>
      </c>
      <c r="FG33" s="35">
        <v>0.64107521999999995</v>
      </c>
      <c r="FH33" s="35">
        <v>0.66052725999999995</v>
      </c>
      <c r="FI33" s="35">
        <v>0.67712181999999999</v>
      </c>
      <c r="FJ33" s="35">
        <v>0.65169975999999996</v>
      </c>
      <c r="FK33" s="35">
        <v>0.64867699000000001</v>
      </c>
      <c r="FL33" s="35">
        <v>0.70246898000000002</v>
      </c>
      <c r="FM33" s="35">
        <v>0.66628617000000001</v>
      </c>
      <c r="FN33" s="35">
        <v>0.66090879999999996</v>
      </c>
      <c r="FO33" s="35">
        <v>0.67680868999999999</v>
      </c>
      <c r="FP33" s="35">
        <v>0.65440553999999995</v>
      </c>
      <c r="FQ33" s="35">
        <v>0.65245293999999998</v>
      </c>
      <c r="FR33" s="35">
        <v>0.64832641999999996</v>
      </c>
      <c r="FS33" s="35">
        <v>0.69435009000000003</v>
      </c>
      <c r="FT33" s="35">
        <v>0.65038907000000001</v>
      </c>
      <c r="FU33" s="35">
        <v>0.6499817</v>
      </c>
      <c r="FV33" s="35">
        <v>0.66160308000000001</v>
      </c>
      <c r="FW33" s="35">
        <v>0.65822996</v>
      </c>
      <c r="FX33" s="35">
        <v>0.63491816999999995</v>
      </c>
      <c r="FY33" s="35">
        <v>0.65782359999999995</v>
      </c>
      <c r="FZ33" s="35">
        <v>0.65471109999999999</v>
      </c>
      <c r="GA33" s="35">
        <v>0.69816427000000003</v>
      </c>
      <c r="GB33" s="35">
        <v>0.66667438999999995</v>
      </c>
      <c r="GC33" s="35">
        <v>0.64606001000000002</v>
      </c>
      <c r="GD33" s="35">
        <v>0.62743956000000001</v>
      </c>
      <c r="GE33" s="35">
        <v>0.66743015999999999</v>
      </c>
      <c r="GF33" s="35">
        <v>0.68134773000000004</v>
      </c>
      <c r="GG33" s="35">
        <v>0.67380761</v>
      </c>
      <c r="GH33" s="35">
        <v>0.65849764</v>
      </c>
      <c r="GI33" s="35">
        <v>0.65891820000000001</v>
      </c>
      <c r="GJ33" s="35">
        <v>0.66525593000000005</v>
      </c>
      <c r="GK33" s="35">
        <v>0.62726811000000005</v>
      </c>
      <c r="GL33" s="35">
        <v>0.65055624999999995</v>
      </c>
      <c r="GM33" s="35">
        <v>0.67589434000000004</v>
      </c>
      <c r="GN33" s="35">
        <v>0.72765676999999995</v>
      </c>
      <c r="GO33" s="35">
        <v>0.62855497999999999</v>
      </c>
      <c r="GP33" s="35">
        <v>0.65818635999999997</v>
      </c>
      <c r="GQ33" s="35">
        <v>0.64290038999999999</v>
      </c>
      <c r="GR33" s="35">
        <v>0.65277845000000001</v>
      </c>
      <c r="GS33" s="35">
        <v>0.72025490000000003</v>
      </c>
      <c r="GT33" s="35">
        <v>0.62565428999999995</v>
      </c>
      <c r="GU33" s="35">
        <v>0.67331675999999996</v>
      </c>
      <c r="GV33" s="35">
        <v>0.66015080000000004</v>
      </c>
      <c r="GW33" s="35">
        <v>0.64131623000000004</v>
      </c>
      <c r="GX33" s="35">
        <v>0.64244866</v>
      </c>
      <c r="GY33" s="35">
        <v>0.65402539999999998</v>
      </c>
      <c r="GZ33" s="35">
        <v>0.6866063</v>
      </c>
      <c r="HA33" s="35">
        <v>0.64924923999999995</v>
      </c>
      <c r="HB33" s="35">
        <v>0.66042608000000003</v>
      </c>
      <c r="HC33" s="35">
        <v>0.66479012999999998</v>
      </c>
      <c r="HD33" s="35">
        <v>0.67097702999999997</v>
      </c>
      <c r="HE33" s="35">
        <v>0.65292517999999999</v>
      </c>
      <c r="HF33" s="35">
        <v>0.67531074000000002</v>
      </c>
      <c r="HG33" s="35">
        <v>0.64605325000000002</v>
      </c>
      <c r="HH33" s="35">
        <v>0.64124217999999999</v>
      </c>
      <c r="HI33" s="35">
        <v>0.65157569000000004</v>
      </c>
      <c r="HJ33" s="35">
        <v>0.63989956999999997</v>
      </c>
      <c r="HK33" s="35">
        <v>0.69624575</v>
      </c>
      <c r="HL33" s="35">
        <v>0.66338317000000002</v>
      </c>
      <c r="HM33" s="35">
        <v>0.65380545000000001</v>
      </c>
      <c r="HN33" s="35">
        <v>0.64860846999999999</v>
      </c>
      <c r="HO33" s="35">
        <v>0.66864393</v>
      </c>
      <c r="HP33" s="35">
        <v>0.68510002000000003</v>
      </c>
      <c r="HQ33" s="35">
        <v>0.65360324999999997</v>
      </c>
      <c r="HR33" s="35">
        <v>0.68237513000000005</v>
      </c>
      <c r="HS33" s="35">
        <v>0.64271783999999998</v>
      </c>
      <c r="HT33" s="35">
        <v>0.65013834999999998</v>
      </c>
      <c r="HU33" s="35">
        <v>0.66716386999999999</v>
      </c>
      <c r="HV33" s="35">
        <v>0.63545894999999997</v>
      </c>
      <c r="HW33" s="35">
        <v>0.64655311999999998</v>
      </c>
      <c r="HX33" s="35">
        <v>0.64510299999999998</v>
      </c>
      <c r="HY33" s="35">
        <v>0.67939967000000001</v>
      </c>
      <c r="HZ33" s="35">
        <v>0.66258908000000005</v>
      </c>
      <c r="IA33" s="35">
        <v>0.67730097</v>
      </c>
      <c r="IB33" s="35">
        <v>0.65040951000000002</v>
      </c>
      <c r="IC33" s="35">
        <v>0.65207203000000002</v>
      </c>
      <c r="ID33" s="35">
        <v>0.66599343</v>
      </c>
      <c r="IE33" s="35">
        <v>0.63721916999999995</v>
      </c>
      <c r="IF33" s="35">
        <v>0.69157201999999995</v>
      </c>
      <c r="IG33" s="35">
        <v>0.66574904000000001</v>
      </c>
      <c r="IH33" s="35">
        <v>0.65767534000000005</v>
      </c>
      <c r="II33" s="35">
        <v>0.66432268000000005</v>
      </c>
      <c r="IJ33" s="35">
        <v>0.65292868999999998</v>
      </c>
      <c r="IK33" s="35">
        <v>0.66601569000000005</v>
      </c>
      <c r="IL33" s="35">
        <v>0.64927113000000003</v>
      </c>
      <c r="IM33" s="35">
        <v>0.65821911</v>
      </c>
      <c r="IN33" s="35">
        <v>0.66347738999999994</v>
      </c>
      <c r="IO33" s="35">
        <v>0.65849924000000004</v>
      </c>
      <c r="IP33" s="35">
        <v>0.65320582999999999</v>
      </c>
      <c r="IQ33" s="35">
        <v>0.65823158999999998</v>
      </c>
      <c r="IR33" s="35">
        <v>0.66056647999999996</v>
      </c>
      <c r="IS33" s="35">
        <v>0.65522775</v>
      </c>
      <c r="IT33" s="35">
        <v>0.65512793000000002</v>
      </c>
      <c r="IU33" s="35">
        <v>0.65624457999999997</v>
      </c>
      <c r="IV33" s="35">
        <v>0.65752359999999999</v>
      </c>
      <c r="IW33" s="35">
        <v>0.66015975999999998</v>
      </c>
      <c r="IX33" s="35">
        <v>0.67450401999999998</v>
      </c>
      <c r="IY33" s="35">
        <v>0.64322926999999996</v>
      </c>
      <c r="IZ33" s="35">
        <v>0.66438164</v>
      </c>
      <c r="JA33" s="35">
        <v>0.65477808999999998</v>
      </c>
      <c r="JB33" s="35">
        <v>0.68003446999999995</v>
      </c>
      <c r="JC33" s="35">
        <v>0.64993036000000004</v>
      </c>
      <c r="JD33" s="35">
        <v>0.64547677999999997</v>
      </c>
      <c r="JK33" s="21"/>
      <c r="JL33" s="21"/>
      <c r="JM33" s="20"/>
      <c r="JN33" s="35"/>
      <c r="JO33" s="35"/>
      <c r="JP33" s="35"/>
      <c r="JQ33" s="41"/>
      <c r="JR33" s="35"/>
      <c r="JS33" s="35"/>
      <c r="JT33" s="35"/>
      <c r="JU33" s="35"/>
      <c r="JV33" s="35"/>
      <c r="JW33" s="35"/>
    </row>
    <row r="34" spans="1:283" ht="13.8" x14ac:dyDescent="0.3">
      <c r="A34" s="19" t="s">
        <v>11</v>
      </c>
      <c r="B34" s="18" t="s">
        <v>47</v>
      </c>
      <c r="C34" s="14">
        <v>365</v>
      </c>
      <c r="D34" s="36">
        <v>0.66103789000000002</v>
      </c>
      <c r="E34" s="37">
        <v>0.65782293000000003</v>
      </c>
      <c r="F34" s="35">
        <v>0.65871478999999999</v>
      </c>
      <c r="G34" s="35">
        <v>0.64129974000000001</v>
      </c>
      <c r="H34" s="35">
        <v>0.65729484999999999</v>
      </c>
      <c r="I34" s="35">
        <v>0.65434744</v>
      </c>
      <c r="J34" s="35">
        <v>0.68157113999999996</v>
      </c>
      <c r="K34" s="35">
        <v>0.65339320999999995</v>
      </c>
      <c r="L34" s="35">
        <v>0.66448459000000004</v>
      </c>
      <c r="M34" s="35">
        <v>0.66675861999999997</v>
      </c>
      <c r="N34" s="35">
        <v>0.66149992999999996</v>
      </c>
      <c r="O34" s="35">
        <v>0.66380733000000003</v>
      </c>
      <c r="P34" s="35">
        <v>0.64753079999999996</v>
      </c>
      <c r="Q34" s="35">
        <v>0.67176287999999995</v>
      </c>
      <c r="R34" s="35">
        <v>0.64812630000000004</v>
      </c>
      <c r="S34" s="35">
        <v>0.66410862000000004</v>
      </c>
      <c r="T34" s="35">
        <v>0.65585636000000003</v>
      </c>
      <c r="U34" s="35">
        <v>0.63932323000000002</v>
      </c>
      <c r="V34" s="35">
        <v>0.67353624000000001</v>
      </c>
      <c r="W34" s="35">
        <v>0.66142396000000003</v>
      </c>
      <c r="X34" s="35">
        <v>0.68175810999999997</v>
      </c>
      <c r="Y34" s="35">
        <v>0.67890620999999995</v>
      </c>
      <c r="Z34" s="35">
        <v>0.64574677999999996</v>
      </c>
      <c r="AA34" s="35">
        <v>0.69182829000000001</v>
      </c>
      <c r="AB34" s="35">
        <v>0.65953154999999997</v>
      </c>
      <c r="AC34" s="35">
        <v>0.67327630000000005</v>
      </c>
      <c r="AD34" s="35">
        <v>0.66081031000000001</v>
      </c>
      <c r="AE34" s="35">
        <v>0.66167034000000002</v>
      </c>
      <c r="AF34" s="35">
        <v>0.65993064999999995</v>
      </c>
      <c r="AG34" s="35">
        <v>0.65615467999999999</v>
      </c>
      <c r="AH34" s="35">
        <v>0.66410037</v>
      </c>
      <c r="AI34" s="35">
        <v>0.65465861999999997</v>
      </c>
      <c r="AJ34" s="35">
        <v>0.65311585999999999</v>
      </c>
      <c r="AK34" s="35">
        <v>0.66735597000000002</v>
      </c>
      <c r="AL34" s="35">
        <v>0.67083464999999998</v>
      </c>
      <c r="AM34" s="35">
        <v>0.66174840000000001</v>
      </c>
      <c r="AN34" s="35">
        <v>0.65978406999999994</v>
      </c>
      <c r="AO34" s="35">
        <v>0.65673413000000003</v>
      </c>
      <c r="AP34" s="35">
        <v>0.65282552999999999</v>
      </c>
      <c r="AQ34" s="35">
        <v>0.67868481999999997</v>
      </c>
      <c r="AR34" s="35">
        <v>0.66278904000000005</v>
      </c>
      <c r="AS34" s="35">
        <v>0.63339920999999999</v>
      </c>
      <c r="AT34" s="35">
        <v>0.66114645000000005</v>
      </c>
      <c r="AU34" s="35">
        <v>0.64639272999999997</v>
      </c>
      <c r="AV34" s="35">
        <v>0.67760549000000003</v>
      </c>
      <c r="AW34" s="35">
        <v>0.67920820000000004</v>
      </c>
      <c r="AX34" s="35">
        <v>0.67672747</v>
      </c>
      <c r="AY34" s="35">
        <v>0.66520983</v>
      </c>
      <c r="AZ34" s="35">
        <v>0.67096065000000005</v>
      </c>
      <c r="BA34" s="35">
        <v>0.65882375000000004</v>
      </c>
      <c r="BB34" s="35">
        <v>0.64359683000000001</v>
      </c>
      <c r="BC34" s="35">
        <v>0.64722181999999995</v>
      </c>
      <c r="BD34" s="35">
        <v>0.65921894999999997</v>
      </c>
      <c r="BE34" s="35">
        <v>0.66326985000000005</v>
      </c>
      <c r="BF34" s="35">
        <v>0.67345460999999995</v>
      </c>
      <c r="BG34" s="35">
        <v>0.65750812000000003</v>
      </c>
      <c r="BH34" s="35">
        <v>0.64835125000000005</v>
      </c>
      <c r="BI34" s="35">
        <v>0.65822022000000002</v>
      </c>
      <c r="BJ34" s="35">
        <v>0.66091701000000003</v>
      </c>
      <c r="BK34" s="35">
        <v>0.69737689000000003</v>
      </c>
      <c r="BL34" s="35">
        <v>0.64958201000000004</v>
      </c>
      <c r="BM34" s="35">
        <v>0.67862286000000005</v>
      </c>
      <c r="BN34" s="35">
        <v>0.63693065000000004</v>
      </c>
      <c r="BO34" s="35">
        <v>0.68359426999999995</v>
      </c>
      <c r="BP34" s="35">
        <v>0.67230144000000003</v>
      </c>
      <c r="BQ34" s="35">
        <v>0.65792839999999997</v>
      </c>
      <c r="BR34" s="35">
        <v>0.64805480999999998</v>
      </c>
      <c r="BS34" s="35">
        <v>0.63918255000000002</v>
      </c>
      <c r="BT34" s="35">
        <v>0.65550421999999997</v>
      </c>
      <c r="BU34" s="35">
        <v>0.64830476999999997</v>
      </c>
      <c r="BV34" s="35">
        <v>0.66908358999999995</v>
      </c>
      <c r="BW34" s="35">
        <v>0.67345104</v>
      </c>
      <c r="BX34" s="35">
        <v>0.66522042999999997</v>
      </c>
      <c r="BY34" s="35">
        <v>0.65017718000000002</v>
      </c>
      <c r="BZ34" s="35">
        <v>0.68402249000000004</v>
      </c>
      <c r="CA34" s="35">
        <v>0.66236516000000001</v>
      </c>
      <c r="CB34" s="35">
        <v>0.66840113000000001</v>
      </c>
      <c r="CC34" s="35">
        <v>0.66141640999999995</v>
      </c>
      <c r="CD34" s="35">
        <v>0.66852098999999998</v>
      </c>
      <c r="CE34" s="35">
        <v>0.66270887000000001</v>
      </c>
      <c r="CF34" s="35">
        <v>0.66571347000000003</v>
      </c>
      <c r="CG34" s="35">
        <v>0.66856470999999995</v>
      </c>
      <c r="CH34" s="35">
        <v>0.66409320000000005</v>
      </c>
      <c r="CI34" s="35">
        <v>0.67728549000000005</v>
      </c>
      <c r="CJ34" s="35">
        <v>0.63439723999999997</v>
      </c>
      <c r="CK34" s="35">
        <v>0.65578024000000001</v>
      </c>
      <c r="CL34" s="35">
        <v>0.64913975000000002</v>
      </c>
      <c r="CM34" s="35">
        <v>0.64767549999999996</v>
      </c>
      <c r="CN34" s="35">
        <v>0.64556597999999998</v>
      </c>
      <c r="CO34" s="35">
        <v>0.65736612999999999</v>
      </c>
      <c r="CP34" s="35">
        <v>0.65627972000000001</v>
      </c>
      <c r="CQ34" s="35">
        <v>0.66781515999999996</v>
      </c>
      <c r="CR34" s="35">
        <v>0.63695594</v>
      </c>
      <c r="CS34" s="35">
        <v>0.6767128</v>
      </c>
      <c r="CT34" s="35">
        <v>0.68071758999999998</v>
      </c>
      <c r="CU34" s="35">
        <v>0.65779061000000005</v>
      </c>
      <c r="CV34" s="35">
        <v>0.67332351999999995</v>
      </c>
      <c r="CW34" s="35">
        <v>0.64465801</v>
      </c>
      <c r="CX34" s="35">
        <v>0.62066933000000002</v>
      </c>
      <c r="CY34" s="35">
        <v>0.64313772999999996</v>
      </c>
      <c r="CZ34" s="35">
        <v>0.66384012000000003</v>
      </c>
      <c r="DA34" s="35">
        <v>0.64588586000000003</v>
      </c>
      <c r="DB34" s="35">
        <v>0.63670457000000003</v>
      </c>
      <c r="DC34" s="35">
        <v>0.66235034999999998</v>
      </c>
      <c r="DD34" s="35">
        <v>0.65304525000000002</v>
      </c>
      <c r="DE34" s="35">
        <v>0.66594914999999999</v>
      </c>
      <c r="DF34" s="35">
        <v>0.66125814999999999</v>
      </c>
      <c r="DG34" s="35">
        <v>0.64244119</v>
      </c>
      <c r="DH34" s="35">
        <v>0.63705783000000005</v>
      </c>
      <c r="DI34" s="35">
        <v>0.66213131999999997</v>
      </c>
      <c r="DJ34" s="35">
        <v>0.66139563999999995</v>
      </c>
      <c r="DK34" s="35">
        <v>0.68203614000000001</v>
      </c>
      <c r="DL34" s="35">
        <v>0.66812707000000005</v>
      </c>
      <c r="DM34" s="35">
        <v>0.66819841000000002</v>
      </c>
      <c r="DN34" s="35">
        <v>0.65215469999999998</v>
      </c>
      <c r="DO34" s="35">
        <v>0.66026878</v>
      </c>
      <c r="DP34" s="35">
        <v>0.68225413000000001</v>
      </c>
      <c r="DQ34" s="35">
        <v>0.64656579999999997</v>
      </c>
      <c r="DR34" s="35">
        <v>0.66001323999999995</v>
      </c>
      <c r="DS34" s="35">
        <v>0.69752957000000004</v>
      </c>
      <c r="DT34" s="35">
        <v>0.67367111999999996</v>
      </c>
      <c r="DU34" s="35">
        <v>0.67623794999999998</v>
      </c>
      <c r="DV34" s="35">
        <v>0.77231901000000003</v>
      </c>
      <c r="DW34" s="35">
        <v>0.54695035000000003</v>
      </c>
      <c r="DX34" s="35">
        <v>0.65959586000000003</v>
      </c>
      <c r="DY34" s="35">
        <v>0.68179102999999996</v>
      </c>
      <c r="DZ34" s="35">
        <v>0.69012108999999999</v>
      </c>
      <c r="EA34" s="35">
        <v>0.62840048999999998</v>
      </c>
      <c r="EB34" s="35">
        <v>0.57992809000000001</v>
      </c>
      <c r="EC34" s="35">
        <v>0.63422612</v>
      </c>
      <c r="ED34" s="35">
        <v>0.64503701999999996</v>
      </c>
      <c r="EE34" s="35">
        <v>0.69312978000000003</v>
      </c>
      <c r="EF34" s="35">
        <v>0.64580148000000004</v>
      </c>
      <c r="EG34" s="35">
        <v>0.67220950000000002</v>
      </c>
      <c r="EH34" s="35">
        <v>0.65194271000000004</v>
      </c>
      <c r="EI34" s="35">
        <v>0.68657157000000002</v>
      </c>
      <c r="EJ34" s="35">
        <v>0.64257675999999997</v>
      </c>
      <c r="EK34" s="35">
        <v>0.70355044</v>
      </c>
      <c r="EL34" s="35">
        <v>0.67301473999999994</v>
      </c>
      <c r="EM34" s="35">
        <v>0.68901299999999999</v>
      </c>
      <c r="EN34" s="35">
        <v>0.65868245999999997</v>
      </c>
      <c r="EO34" s="35">
        <v>0.69928639999999997</v>
      </c>
      <c r="EP34" s="35">
        <v>0.67986170000000001</v>
      </c>
      <c r="EQ34" s="35">
        <v>0.68571890000000002</v>
      </c>
      <c r="ER34" s="35">
        <v>0.67791281999999997</v>
      </c>
      <c r="ES34" s="35">
        <v>0.64549517999999995</v>
      </c>
      <c r="ET34" s="35">
        <v>0.66936613</v>
      </c>
      <c r="EU34" s="35">
        <v>0.67765178999999998</v>
      </c>
      <c r="EV34" s="35">
        <v>0.66322442999999998</v>
      </c>
      <c r="EW34" s="35">
        <v>0.6226505</v>
      </c>
      <c r="EX34" s="35">
        <v>0.66178170000000003</v>
      </c>
      <c r="EY34" s="35">
        <v>0.67190156000000001</v>
      </c>
      <c r="EZ34" s="35">
        <v>0.66387991999999996</v>
      </c>
      <c r="FA34" s="35">
        <v>0.67035115000000001</v>
      </c>
      <c r="FB34" s="35">
        <v>0.64142363999999996</v>
      </c>
      <c r="FC34" s="35">
        <v>0.6685719</v>
      </c>
      <c r="FD34" s="35">
        <v>0.67166126999999998</v>
      </c>
      <c r="FE34" s="35">
        <v>0.65361100000000005</v>
      </c>
      <c r="FF34" s="35">
        <v>0.66326227000000004</v>
      </c>
      <c r="FG34" s="35">
        <v>0.63942244000000004</v>
      </c>
      <c r="FH34" s="35">
        <v>0.66266365000000005</v>
      </c>
      <c r="FI34" s="35">
        <v>0.68110656000000003</v>
      </c>
      <c r="FJ34" s="35">
        <v>0.65156044000000002</v>
      </c>
      <c r="FK34" s="35">
        <v>0.64725118999999998</v>
      </c>
      <c r="FL34" s="35">
        <v>0.72124847000000003</v>
      </c>
      <c r="FM34" s="35">
        <v>0.66653861999999997</v>
      </c>
      <c r="FN34" s="35">
        <v>0.66679918000000005</v>
      </c>
      <c r="FO34" s="35">
        <v>0.68518285999999995</v>
      </c>
      <c r="FP34" s="35">
        <v>0.65496606999999996</v>
      </c>
      <c r="FQ34" s="35">
        <v>0.64918863000000004</v>
      </c>
      <c r="FR34" s="35">
        <v>0.64695356999999998</v>
      </c>
      <c r="FS34" s="35">
        <v>0.71063078999999996</v>
      </c>
      <c r="FT34" s="35">
        <v>0.64966162999999999</v>
      </c>
      <c r="FU34" s="35">
        <v>0.64923043000000003</v>
      </c>
      <c r="FV34" s="35">
        <v>0.66230412999999999</v>
      </c>
      <c r="FW34" s="35">
        <v>0.66085305999999999</v>
      </c>
      <c r="FX34" s="35">
        <v>0.63155987999999996</v>
      </c>
      <c r="FY34" s="35">
        <v>0.65929353000000002</v>
      </c>
      <c r="FZ34" s="35">
        <v>0.65496191000000004</v>
      </c>
      <c r="GA34" s="35">
        <v>0.70946538000000003</v>
      </c>
      <c r="GB34" s="35">
        <v>0.67281880999999999</v>
      </c>
      <c r="GC34" s="35">
        <v>0.64661714000000003</v>
      </c>
      <c r="GD34" s="35">
        <v>0.61891868999999999</v>
      </c>
      <c r="GE34" s="35">
        <v>0.67150215999999996</v>
      </c>
      <c r="GF34" s="35">
        <v>0.68699427999999996</v>
      </c>
      <c r="GG34" s="35">
        <v>0.68377160999999997</v>
      </c>
      <c r="GH34" s="35">
        <v>0.66034548000000004</v>
      </c>
      <c r="GI34" s="35">
        <v>0.65884222999999997</v>
      </c>
      <c r="GJ34" s="35">
        <v>0.67022506000000004</v>
      </c>
      <c r="GK34" s="35">
        <v>0.61934860999999997</v>
      </c>
      <c r="GL34" s="35">
        <v>0.64962332</v>
      </c>
      <c r="GM34" s="35">
        <v>0.68531931999999995</v>
      </c>
      <c r="GN34" s="35">
        <v>0.75093646000000003</v>
      </c>
      <c r="GO34" s="35">
        <v>0.62032595000000001</v>
      </c>
      <c r="GP34" s="35">
        <v>0.66072788000000005</v>
      </c>
      <c r="GQ34" s="35">
        <v>0.63847732999999995</v>
      </c>
      <c r="GR34" s="35">
        <v>0.65203577000000001</v>
      </c>
      <c r="GS34" s="35">
        <v>0.74609791999999997</v>
      </c>
      <c r="GT34" s="35">
        <v>0.61600904999999995</v>
      </c>
      <c r="GU34" s="35">
        <v>0.68068909</v>
      </c>
      <c r="GV34" s="35">
        <v>0.66097757999999995</v>
      </c>
      <c r="GW34" s="35">
        <v>0.63724656999999996</v>
      </c>
      <c r="GX34" s="35">
        <v>0.64153123000000001</v>
      </c>
      <c r="GY34" s="35">
        <v>0.65377684999999996</v>
      </c>
      <c r="GZ34" s="35">
        <v>0.69840365000000004</v>
      </c>
      <c r="HA34" s="35">
        <v>0.64603489999999997</v>
      </c>
      <c r="HB34" s="35">
        <v>0.66318547000000005</v>
      </c>
      <c r="HC34" s="35">
        <v>0.67105157999999998</v>
      </c>
      <c r="HD34" s="35">
        <v>0.67765644999999997</v>
      </c>
      <c r="HE34" s="35">
        <v>0.65481827999999997</v>
      </c>
      <c r="HF34" s="35">
        <v>0.68142692999999999</v>
      </c>
      <c r="HG34" s="35">
        <v>0.64478595000000005</v>
      </c>
      <c r="HH34" s="35">
        <v>0.63940651999999998</v>
      </c>
      <c r="HI34" s="35">
        <v>0.65155406000000005</v>
      </c>
      <c r="HJ34" s="35">
        <v>0.63633185000000003</v>
      </c>
      <c r="HK34" s="35">
        <v>0.70967789999999997</v>
      </c>
      <c r="HL34" s="35">
        <v>0.66771192999999995</v>
      </c>
      <c r="HM34" s="35">
        <v>0.65567785000000001</v>
      </c>
      <c r="HN34" s="35">
        <v>0.64633472999999997</v>
      </c>
      <c r="HO34" s="35">
        <v>0.67455549999999997</v>
      </c>
      <c r="HP34" s="35">
        <v>0.69412273000000002</v>
      </c>
      <c r="HQ34" s="35">
        <v>0.65464396999999996</v>
      </c>
      <c r="HR34" s="35">
        <v>0.69475633999999997</v>
      </c>
      <c r="HS34" s="35">
        <v>0.63975011000000004</v>
      </c>
      <c r="HT34" s="35">
        <v>0.65133671000000004</v>
      </c>
      <c r="HU34" s="35">
        <v>0.67047144000000003</v>
      </c>
      <c r="HV34" s="35">
        <v>0.63272952000000005</v>
      </c>
      <c r="HW34" s="35">
        <v>0.64687729000000005</v>
      </c>
      <c r="HX34" s="35">
        <v>0.64410244999999999</v>
      </c>
      <c r="HY34" s="35">
        <v>0.68610557000000005</v>
      </c>
      <c r="HZ34" s="35">
        <v>0.66687898999999995</v>
      </c>
      <c r="IA34" s="35">
        <v>0.68710570000000004</v>
      </c>
      <c r="IB34" s="35">
        <v>0.65187298000000005</v>
      </c>
      <c r="IC34" s="35">
        <v>0.65279626999999996</v>
      </c>
      <c r="ID34" s="35">
        <v>0.66971818000000005</v>
      </c>
      <c r="IE34" s="35">
        <v>0.63273709</v>
      </c>
      <c r="IF34" s="35">
        <v>0.70695185999999999</v>
      </c>
      <c r="IG34" s="35">
        <v>0.67261974000000002</v>
      </c>
      <c r="IH34" s="35">
        <v>0.66065501000000004</v>
      </c>
      <c r="II34" s="35">
        <v>0.66832930999999995</v>
      </c>
      <c r="IJ34" s="35">
        <v>0.65398694999999996</v>
      </c>
      <c r="IK34" s="35">
        <v>0.67319070999999997</v>
      </c>
      <c r="IL34" s="35">
        <v>0.65072099000000005</v>
      </c>
      <c r="IM34" s="35">
        <v>0.66145905999999999</v>
      </c>
      <c r="IN34" s="35">
        <v>0.66619907</v>
      </c>
      <c r="IO34" s="35">
        <v>0.66160331999999999</v>
      </c>
      <c r="IP34" s="35">
        <v>0.65582819000000003</v>
      </c>
      <c r="IQ34" s="35">
        <v>0.66226099000000005</v>
      </c>
      <c r="IR34" s="35">
        <v>0.66426368000000002</v>
      </c>
      <c r="IS34" s="35">
        <v>0.65378910999999995</v>
      </c>
      <c r="IT34" s="35">
        <v>0.65744316999999997</v>
      </c>
      <c r="IU34" s="35">
        <v>0.66036483999999995</v>
      </c>
      <c r="IV34" s="35">
        <v>0.65999421999999996</v>
      </c>
      <c r="IW34" s="35">
        <v>0.66448766999999997</v>
      </c>
      <c r="IX34" s="35">
        <v>0.680427</v>
      </c>
      <c r="IY34" s="35">
        <v>0.64186184999999996</v>
      </c>
      <c r="IZ34" s="35">
        <v>0.67217004999999996</v>
      </c>
      <c r="JA34" s="35">
        <v>0.65802978000000001</v>
      </c>
      <c r="JB34" s="35">
        <v>0.68834264999999994</v>
      </c>
      <c r="JC34" s="35">
        <v>0.65115064</v>
      </c>
      <c r="JD34" s="35">
        <v>0.64703575999999996</v>
      </c>
      <c r="JK34" s="21"/>
      <c r="JL34" s="21"/>
      <c r="JM34" s="20"/>
      <c r="JN34" s="35"/>
      <c r="JO34" s="35"/>
      <c r="JP34" s="35"/>
      <c r="JQ34" s="41"/>
      <c r="JR34" s="35"/>
      <c r="JS34" s="35"/>
      <c r="JT34" s="35"/>
      <c r="JU34" s="35"/>
      <c r="JV34" s="35"/>
      <c r="JW34" s="35"/>
    </row>
    <row r="35" spans="1:283" ht="13.8" x14ac:dyDescent="0.3">
      <c r="A35" s="19" t="s">
        <v>11</v>
      </c>
      <c r="B35" s="18" t="s">
        <v>47</v>
      </c>
      <c r="C35" s="14">
        <v>545</v>
      </c>
      <c r="D35" s="36">
        <v>0.69100158</v>
      </c>
      <c r="E35" s="37">
        <v>0.68891124999999998</v>
      </c>
      <c r="F35" s="35">
        <v>0.68820064000000003</v>
      </c>
      <c r="G35" s="35">
        <v>0.67448319999999995</v>
      </c>
      <c r="H35" s="35">
        <v>0.68583278000000003</v>
      </c>
      <c r="I35" s="35">
        <v>0.68670602000000003</v>
      </c>
      <c r="J35" s="35">
        <v>0.70990807</v>
      </c>
      <c r="K35" s="35">
        <v>0.68335067999999999</v>
      </c>
      <c r="L35" s="35">
        <v>0.69251923000000004</v>
      </c>
      <c r="M35" s="35">
        <v>0.69620011000000004</v>
      </c>
      <c r="N35" s="35">
        <v>0.69307863999999997</v>
      </c>
      <c r="O35" s="35">
        <v>0.69378635</v>
      </c>
      <c r="P35" s="35">
        <v>0.67783452</v>
      </c>
      <c r="Q35" s="35">
        <v>0.70057347000000003</v>
      </c>
      <c r="R35" s="35">
        <v>0.67670414999999995</v>
      </c>
      <c r="S35" s="35">
        <v>0.69724184</v>
      </c>
      <c r="T35" s="35">
        <v>0.68550513999999996</v>
      </c>
      <c r="U35" s="35">
        <v>0.67072692</v>
      </c>
      <c r="V35" s="35">
        <v>0.70276514000000001</v>
      </c>
      <c r="W35" s="35">
        <v>0.69193901999999996</v>
      </c>
      <c r="X35" s="35">
        <v>0.71182129999999999</v>
      </c>
      <c r="Y35" s="35">
        <v>0.70849543000000004</v>
      </c>
      <c r="Z35" s="35">
        <v>0.67684973999999998</v>
      </c>
      <c r="AA35" s="35">
        <v>0.71920629000000003</v>
      </c>
      <c r="AB35" s="35">
        <v>0.69374698999999995</v>
      </c>
      <c r="AC35" s="35">
        <v>0.70133387999999997</v>
      </c>
      <c r="AD35" s="35">
        <v>0.69083497000000005</v>
      </c>
      <c r="AE35" s="35">
        <v>0.69085112000000004</v>
      </c>
      <c r="AF35" s="35">
        <v>0.68848502</v>
      </c>
      <c r="AG35" s="35">
        <v>0.68811376999999996</v>
      </c>
      <c r="AH35" s="35">
        <v>0.69381181999999997</v>
      </c>
      <c r="AI35" s="35">
        <v>0.68467299999999998</v>
      </c>
      <c r="AJ35" s="35">
        <v>0.68335458000000004</v>
      </c>
      <c r="AK35" s="35">
        <v>0.69615408000000001</v>
      </c>
      <c r="AL35" s="35">
        <v>0.70183041999999995</v>
      </c>
      <c r="AM35" s="35">
        <v>0.69126447000000002</v>
      </c>
      <c r="AN35" s="35">
        <v>0.68900603000000005</v>
      </c>
      <c r="AO35" s="35">
        <v>0.68753019000000004</v>
      </c>
      <c r="AP35" s="35">
        <v>0.68288738999999998</v>
      </c>
      <c r="AQ35" s="35">
        <v>0.70774630999999999</v>
      </c>
      <c r="AR35" s="35">
        <v>0.69220484000000004</v>
      </c>
      <c r="AS35" s="35">
        <v>0.66592843000000002</v>
      </c>
      <c r="AT35" s="35">
        <v>0.68919774</v>
      </c>
      <c r="AU35" s="35">
        <v>0.67800132000000002</v>
      </c>
      <c r="AV35" s="35">
        <v>0.70738192</v>
      </c>
      <c r="AW35" s="35">
        <v>0.70736639999999995</v>
      </c>
      <c r="AX35" s="35">
        <v>0.70558986000000001</v>
      </c>
      <c r="AY35" s="35">
        <v>0.69679952999999994</v>
      </c>
      <c r="AZ35" s="35">
        <v>0.69606758999999996</v>
      </c>
      <c r="BA35" s="35">
        <v>0.68960553000000002</v>
      </c>
      <c r="BB35" s="35">
        <v>0.67555717999999998</v>
      </c>
      <c r="BC35" s="35">
        <v>0.67878866000000004</v>
      </c>
      <c r="BD35" s="35">
        <v>0.68907898000000001</v>
      </c>
      <c r="BE35" s="35">
        <v>0.69161514999999996</v>
      </c>
      <c r="BF35" s="35">
        <v>0.70380704999999999</v>
      </c>
      <c r="BG35" s="35">
        <v>0.68597052999999997</v>
      </c>
      <c r="BH35" s="35">
        <v>0.67896900999999998</v>
      </c>
      <c r="BI35" s="35">
        <v>0.69212244999999994</v>
      </c>
      <c r="BJ35" s="35">
        <v>0.69105664</v>
      </c>
      <c r="BK35" s="35">
        <v>0.71952331000000003</v>
      </c>
      <c r="BL35" s="35">
        <v>0.68718319999999999</v>
      </c>
      <c r="BM35" s="35">
        <v>0.70341178000000004</v>
      </c>
      <c r="BN35" s="35">
        <v>0.67039839999999995</v>
      </c>
      <c r="BO35" s="35">
        <v>0.71142170999999998</v>
      </c>
      <c r="BP35" s="35">
        <v>0.70322551</v>
      </c>
      <c r="BQ35" s="35">
        <v>0.68400660999999996</v>
      </c>
      <c r="BR35" s="35">
        <v>0.68061861000000001</v>
      </c>
      <c r="BS35" s="35">
        <v>0.66936061000000002</v>
      </c>
      <c r="BT35" s="35">
        <v>0.69306078000000004</v>
      </c>
      <c r="BU35" s="35">
        <v>0.67213917999999995</v>
      </c>
      <c r="BV35" s="35">
        <v>0.69940754999999999</v>
      </c>
      <c r="BW35" s="35">
        <v>0.69838685</v>
      </c>
      <c r="BX35" s="35">
        <v>0.70691378000000005</v>
      </c>
      <c r="BY35" s="35">
        <v>0.67131432999999996</v>
      </c>
      <c r="BZ35" s="35">
        <v>0.71244532999999999</v>
      </c>
      <c r="CA35" s="35">
        <v>0.69078110000000004</v>
      </c>
      <c r="CB35" s="35">
        <v>0.70063827999999995</v>
      </c>
      <c r="CC35" s="35">
        <v>0.69102056000000001</v>
      </c>
      <c r="CD35" s="35">
        <v>0.69957148000000002</v>
      </c>
      <c r="CE35" s="35">
        <v>0.68950823999999999</v>
      </c>
      <c r="CF35" s="35">
        <v>0.69588612999999999</v>
      </c>
      <c r="CG35" s="35">
        <v>0.69808592000000003</v>
      </c>
      <c r="CH35" s="35">
        <v>0.69681263999999998</v>
      </c>
      <c r="CI35" s="35">
        <v>0.70080502</v>
      </c>
      <c r="CJ35" s="35">
        <v>0.67010886000000003</v>
      </c>
      <c r="CK35" s="35">
        <v>0.68000729000000004</v>
      </c>
      <c r="CL35" s="35">
        <v>0.68159097999999996</v>
      </c>
      <c r="CM35" s="35">
        <v>0.68178433000000005</v>
      </c>
      <c r="CN35" s="35">
        <v>0.67386661000000003</v>
      </c>
      <c r="CO35" s="35">
        <v>0.68973172000000005</v>
      </c>
      <c r="CP35" s="35">
        <v>0.68503897999999996</v>
      </c>
      <c r="CQ35" s="35">
        <v>0.69816774999999998</v>
      </c>
      <c r="CR35" s="35">
        <v>0.66840065999999998</v>
      </c>
      <c r="CS35" s="35">
        <v>0.70382436000000004</v>
      </c>
      <c r="CT35" s="35">
        <v>0.70768463000000004</v>
      </c>
      <c r="CU35" s="35">
        <v>0.68844532000000003</v>
      </c>
      <c r="CV35" s="35">
        <v>0.70480330999999996</v>
      </c>
      <c r="CW35" s="35">
        <v>0.67341969000000002</v>
      </c>
      <c r="CX35" s="35">
        <v>0.65167165999999999</v>
      </c>
      <c r="CY35" s="35">
        <v>0.6721163</v>
      </c>
      <c r="CZ35" s="35">
        <v>0.69050261000000002</v>
      </c>
      <c r="DA35" s="35">
        <v>0.67790512000000003</v>
      </c>
      <c r="DB35" s="35">
        <v>0.66785662000000001</v>
      </c>
      <c r="DC35" s="35">
        <v>0.69206880000000004</v>
      </c>
      <c r="DD35" s="35">
        <v>0.68486336999999997</v>
      </c>
      <c r="DE35" s="35">
        <v>0.69188402000000004</v>
      </c>
      <c r="DF35" s="35">
        <v>0.69332335</v>
      </c>
      <c r="DG35" s="35">
        <v>0.67216180999999997</v>
      </c>
      <c r="DH35" s="35">
        <v>0.67314600999999996</v>
      </c>
      <c r="DI35" s="35">
        <v>0.69237123</v>
      </c>
      <c r="DJ35" s="35">
        <v>0.69026761999999997</v>
      </c>
      <c r="DK35" s="35">
        <v>0.71007264999999997</v>
      </c>
      <c r="DL35" s="35">
        <v>0.69702375999999999</v>
      </c>
      <c r="DM35" s="35">
        <v>0.69763045999999995</v>
      </c>
      <c r="DN35" s="35">
        <v>0.68407867</v>
      </c>
      <c r="DO35" s="35">
        <v>0.68896800999999996</v>
      </c>
      <c r="DP35" s="35">
        <v>0.71519255999999998</v>
      </c>
      <c r="DQ35" s="35">
        <v>0.67851117999999999</v>
      </c>
      <c r="DR35" s="35">
        <v>0.68983110999999997</v>
      </c>
      <c r="DS35" s="35">
        <v>0.72868392999999998</v>
      </c>
      <c r="DT35" s="35">
        <v>0.70178313999999997</v>
      </c>
      <c r="DU35" s="35">
        <v>0.70809078999999997</v>
      </c>
      <c r="DV35" s="35">
        <v>0.76634272999999997</v>
      </c>
      <c r="DW35" s="35">
        <v>0.61012776000000002</v>
      </c>
      <c r="DX35" s="35">
        <v>0.68953803000000002</v>
      </c>
      <c r="DY35" s="35">
        <v>0.70889811000000003</v>
      </c>
      <c r="DZ35" s="35">
        <v>0.71418324</v>
      </c>
      <c r="EA35" s="35">
        <v>0.66254283999999997</v>
      </c>
      <c r="EB35" s="35">
        <v>0.61741086999999995</v>
      </c>
      <c r="EC35" s="35">
        <v>0.66511306000000003</v>
      </c>
      <c r="ED35" s="35">
        <v>0.67688223000000003</v>
      </c>
      <c r="EE35" s="35">
        <v>0.72255382000000001</v>
      </c>
      <c r="EF35" s="35">
        <v>0.67738178000000004</v>
      </c>
      <c r="EG35" s="35">
        <v>0.70166119000000005</v>
      </c>
      <c r="EH35" s="35">
        <v>0.68451286</v>
      </c>
      <c r="EI35" s="35">
        <v>0.71499513000000003</v>
      </c>
      <c r="EJ35" s="35">
        <v>0.68062845999999999</v>
      </c>
      <c r="EK35" s="35">
        <v>0.73040210000000005</v>
      </c>
      <c r="EL35" s="35">
        <v>0.70387177000000001</v>
      </c>
      <c r="EM35" s="35">
        <v>0.71445963999999995</v>
      </c>
      <c r="EN35" s="35">
        <v>0.70747740000000003</v>
      </c>
      <c r="EO35" s="35">
        <v>0.71856604999999996</v>
      </c>
      <c r="EP35" s="35">
        <v>0.70374999000000005</v>
      </c>
      <c r="EQ35" s="35">
        <v>0.71651144</v>
      </c>
      <c r="ER35" s="35">
        <v>0.70652203999999996</v>
      </c>
      <c r="ES35" s="35">
        <v>0.67552179000000001</v>
      </c>
      <c r="ET35" s="35">
        <v>0.69659106999999998</v>
      </c>
      <c r="EU35" s="35">
        <v>0.70667075999999995</v>
      </c>
      <c r="EV35" s="35">
        <v>0.69104951000000003</v>
      </c>
      <c r="EW35" s="35">
        <v>0.65869252</v>
      </c>
      <c r="EX35" s="35">
        <v>0.69031191000000003</v>
      </c>
      <c r="EY35" s="35">
        <v>0.70091893000000005</v>
      </c>
      <c r="EZ35" s="35">
        <v>0.69476302000000001</v>
      </c>
      <c r="FA35" s="35">
        <v>0.69945999000000003</v>
      </c>
      <c r="FB35" s="35">
        <v>0.67292752</v>
      </c>
      <c r="FC35" s="35">
        <v>0.69663598999999998</v>
      </c>
      <c r="FD35" s="35">
        <v>0.70084632999999996</v>
      </c>
      <c r="FE35" s="35">
        <v>0.68559990000000004</v>
      </c>
      <c r="FF35" s="35">
        <v>0.69301422000000001</v>
      </c>
      <c r="FG35" s="35">
        <v>0.67602108000000005</v>
      </c>
      <c r="FH35" s="35">
        <v>0.69288240000000001</v>
      </c>
      <c r="FI35" s="35">
        <v>0.70969119000000003</v>
      </c>
      <c r="FJ35" s="35">
        <v>0.68334284999999995</v>
      </c>
      <c r="FK35" s="35">
        <v>0.68474327999999995</v>
      </c>
      <c r="FL35" s="35">
        <v>0.73888127000000003</v>
      </c>
      <c r="FM35" s="35">
        <v>0.69924905999999998</v>
      </c>
      <c r="FN35" s="35">
        <v>0.69734344999999998</v>
      </c>
      <c r="FO35" s="35">
        <v>0.71396172999999996</v>
      </c>
      <c r="FP35" s="35">
        <v>0.68635051000000002</v>
      </c>
      <c r="FQ35" s="35">
        <v>0.67881862999999998</v>
      </c>
      <c r="FR35" s="35">
        <v>0.68054581999999997</v>
      </c>
      <c r="FS35" s="35">
        <v>0.73582979999999998</v>
      </c>
      <c r="FT35" s="35">
        <v>0.68127046000000002</v>
      </c>
      <c r="FU35" s="35">
        <v>0.68214074000000002</v>
      </c>
      <c r="FV35" s="35">
        <v>0.69487308000000003</v>
      </c>
      <c r="FW35" s="35">
        <v>0.68927841999999995</v>
      </c>
      <c r="FX35" s="35">
        <v>0.66283150000000002</v>
      </c>
      <c r="FY35" s="35">
        <v>0.69136388999999998</v>
      </c>
      <c r="FZ35" s="35">
        <v>0.68543452000000005</v>
      </c>
      <c r="GA35" s="35">
        <v>0.73411448000000001</v>
      </c>
      <c r="GB35" s="35">
        <v>0.70348734999999996</v>
      </c>
      <c r="GC35" s="35">
        <v>0.67525363999999999</v>
      </c>
      <c r="GD35" s="35">
        <v>0.65635807999999995</v>
      </c>
      <c r="GE35" s="35">
        <v>0.69910952999999998</v>
      </c>
      <c r="GF35" s="35">
        <v>0.71968611999999998</v>
      </c>
      <c r="GG35" s="35">
        <v>0.70995717000000003</v>
      </c>
      <c r="GH35" s="35">
        <v>0.69143007000000001</v>
      </c>
      <c r="GI35" s="35">
        <v>0.68930340000000001</v>
      </c>
      <c r="GJ35" s="35">
        <v>0.69831905999999999</v>
      </c>
      <c r="GK35" s="35">
        <v>0.65311123999999998</v>
      </c>
      <c r="GL35" s="35">
        <v>0.68045429999999996</v>
      </c>
      <c r="GM35" s="35">
        <v>0.71688485000000002</v>
      </c>
      <c r="GN35" s="35">
        <v>0.77679149999999997</v>
      </c>
      <c r="GO35" s="35">
        <v>0.64981031</v>
      </c>
      <c r="GP35" s="35">
        <v>0.69295509</v>
      </c>
      <c r="GQ35" s="35">
        <v>0.67208506000000001</v>
      </c>
      <c r="GR35" s="35">
        <v>0.68372701999999996</v>
      </c>
      <c r="GS35" s="35">
        <v>0.76514863</v>
      </c>
      <c r="GT35" s="35">
        <v>0.64937034000000005</v>
      </c>
      <c r="GU35" s="35">
        <v>0.70498393999999998</v>
      </c>
      <c r="GV35" s="35">
        <v>0.68880739000000002</v>
      </c>
      <c r="GW35" s="35">
        <v>0.66704253000000002</v>
      </c>
      <c r="GX35" s="35">
        <v>0.67530356000000002</v>
      </c>
      <c r="GY35" s="35">
        <v>0.68459201000000003</v>
      </c>
      <c r="GZ35" s="35">
        <v>0.72339569999999997</v>
      </c>
      <c r="HA35" s="35">
        <v>0.67763998000000003</v>
      </c>
      <c r="HB35" s="35">
        <v>0.69014545999999999</v>
      </c>
      <c r="HC35" s="35">
        <v>0.70014213999999997</v>
      </c>
      <c r="HD35" s="35">
        <v>0.70720749000000005</v>
      </c>
      <c r="HE35" s="35">
        <v>0.68517380999999999</v>
      </c>
      <c r="HF35" s="35">
        <v>0.70987469000000003</v>
      </c>
      <c r="HG35" s="35">
        <v>0.67471278000000001</v>
      </c>
      <c r="HH35" s="35">
        <v>0.67050058000000001</v>
      </c>
      <c r="HI35" s="35">
        <v>0.68275540999999995</v>
      </c>
      <c r="HJ35" s="35">
        <v>0.67107870999999997</v>
      </c>
      <c r="HK35" s="35">
        <v>0.73695805999999997</v>
      </c>
      <c r="HL35" s="35">
        <v>0.69421869999999997</v>
      </c>
      <c r="HM35" s="35">
        <v>0.68940186999999997</v>
      </c>
      <c r="HN35" s="35">
        <v>0.67886343000000005</v>
      </c>
      <c r="HO35" s="35">
        <v>0.70544830000000003</v>
      </c>
      <c r="HP35" s="35">
        <v>0.71954072999999996</v>
      </c>
      <c r="HQ35" s="35">
        <v>0.68293398999999999</v>
      </c>
      <c r="HR35" s="35">
        <v>0.71144320999999999</v>
      </c>
      <c r="HS35" s="35">
        <v>0.68044919999999998</v>
      </c>
      <c r="HT35" s="35">
        <v>0.68475180999999996</v>
      </c>
      <c r="HU35" s="35">
        <v>0.69963783000000002</v>
      </c>
      <c r="HV35" s="35">
        <v>0.66221333999999998</v>
      </c>
      <c r="HW35" s="35">
        <v>0.67794281000000001</v>
      </c>
      <c r="HX35" s="35">
        <v>0.67719501000000004</v>
      </c>
      <c r="HY35" s="35">
        <v>0.71748628999999997</v>
      </c>
      <c r="HZ35" s="35">
        <v>0.69762261999999997</v>
      </c>
      <c r="IA35" s="35">
        <v>0.71118621999999998</v>
      </c>
      <c r="IB35" s="35">
        <v>0.68194754000000002</v>
      </c>
      <c r="IC35" s="35">
        <v>0.68418477</v>
      </c>
      <c r="ID35" s="35">
        <v>0.69849545000000002</v>
      </c>
      <c r="IE35" s="35">
        <v>0.66791942999999998</v>
      </c>
      <c r="IF35" s="35">
        <v>0.73088644000000003</v>
      </c>
      <c r="IG35" s="35">
        <v>0.70275432000000004</v>
      </c>
      <c r="IH35" s="35">
        <v>0.68955306000000005</v>
      </c>
      <c r="II35" s="35">
        <v>0.69889056000000005</v>
      </c>
      <c r="IJ35" s="35">
        <v>0.68497273999999997</v>
      </c>
      <c r="IK35" s="35">
        <v>0.70176742000000003</v>
      </c>
      <c r="IL35" s="35">
        <v>0.68140051999999995</v>
      </c>
      <c r="IM35" s="35">
        <v>0.69091194</v>
      </c>
      <c r="IN35" s="35">
        <v>0.69593073000000005</v>
      </c>
      <c r="IO35" s="35">
        <v>0.690527</v>
      </c>
      <c r="IP35" s="35">
        <v>0.68624666999999995</v>
      </c>
      <c r="IQ35" s="35">
        <v>0.69105227000000002</v>
      </c>
      <c r="IR35" s="35">
        <v>0.69514164000000001</v>
      </c>
      <c r="IS35" s="35">
        <v>0.68413679999999999</v>
      </c>
      <c r="IT35" s="35">
        <v>0.68787609999999999</v>
      </c>
      <c r="IU35" s="35">
        <v>0.68840935999999997</v>
      </c>
      <c r="IV35" s="35">
        <v>0.69046485000000002</v>
      </c>
      <c r="IW35" s="35">
        <v>0.69360387999999995</v>
      </c>
      <c r="IX35" s="35">
        <v>0.70760590999999995</v>
      </c>
      <c r="IY35" s="35">
        <v>0.67176815000000001</v>
      </c>
      <c r="IZ35" s="35">
        <v>0.70145933999999999</v>
      </c>
      <c r="JA35" s="35">
        <v>0.68922481000000002</v>
      </c>
      <c r="JB35" s="35">
        <v>0.71022437000000005</v>
      </c>
      <c r="JC35" s="35">
        <v>0.68571099000000002</v>
      </c>
      <c r="JD35" s="35">
        <v>0.67687673000000004</v>
      </c>
      <c r="JK35" s="21"/>
      <c r="JL35" s="21"/>
      <c r="JM35" s="20"/>
      <c r="JN35" s="35"/>
      <c r="JO35" s="35"/>
      <c r="JP35" s="35"/>
      <c r="JQ35" s="41"/>
      <c r="JR35" s="35"/>
      <c r="JS35" s="35"/>
      <c r="JT35" s="35"/>
      <c r="JU35" s="35"/>
      <c r="JV35" s="35"/>
      <c r="JW35" s="35"/>
    </row>
    <row r="36" spans="1:283" ht="13.8" x14ac:dyDescent="0.3">
      <c r="A36" s="19" t="s">
        <v>11</v>
      </c>
      <c r="B36" s="18" t="s">
        <v>47</v>
      </c>
      <c r="C36" s="14">
        <v>725</v>
      </c>
      <c r="D36" s="36">
        <v>0.72971176000000004</v>
      </c>
      <c r="E36" s="37">
        <v>0.72874603999999998</v>
      </c>
      <c r="F36" s="35">
        <v>0.72643296999999996</v>
      </c>
      <c r="G36" s="35">
        <v>0.71641315000000005</v>
      </c>
      <c r="H36" s="35">
        <v>0.72311720000000002</v>
      </c>
      <c r="I36" s="35">
        <v>0.72781108999999999</v>
      </c>
      <c r="J36" s="35">
        <v>0.74699148999999998</v>
      </c>
      <c r="K36" s="35">
        <v>0.72205461999999998</v>
      </c>
      <c r="L36" s="35">
        <v>0.72930035999999998</v>
      </c>
      <c r="M36" s="35">
        <v>0.73438806999999995</v>
      </c>
      <c r="N36" s="35">
        <v>0.73340384000000003</v>
      </c>
      <c r="O36" s="35">
        <v>0.73251184000000003</v>
      </c>
      <c r="P36" s="35">
        <v>0.71688472999999997</v>
      </c>
      <c r="Q36" s="35">
        <v>0.73813055000000005</v>
      </c>
      <c r="R36" s="35">
        <v>0.71402847999999997</v>
      </c>
      <c r="S36" s="35">
        <v>0.73912155000000002</v>
      </c>
      <c r="T36" s="35">
        <v>0.72390041000000005</v>
      </c>
      <c r="U36" s="35">
        <v>0.71087708999999999</v>
      </c>
      <c r="V36" s="35">
        <v>0.74074052999999995</v>
      </c>
      <c r="W36" s="35">
        <v>0.73120057000000005</v>
      </c>
      <c r="X36" s="35">
        <v>0.75063097999999995</v>
      </c>
      <c r="Y36" s="35">
        <v>0.74683113999999995</v>
      </c>
      <c r="Z36" s="35">
        <v>0.71669917999999999</v>
      </c>
      <c r="AA36" s="35">
        <v>0.75533077000000004</v>
      </c>
      <c r="AB36" s="35">
        <v>0.73670891000000005</v>
      </c>
      <c r="AC36" s="35">
        <v>0.73813793999999999</v>
      </c>
      <c r="AD36" s="35">
        <v>0.72960610999999997</v>
      </c>
      <c r="AE36" s="35">
        <v>0.72877837999999995</v>
      </c>
      <c r="AF36" s="35">
        <v>0.72578587000000006</v>
      </c>
      <c r="AG36" s="35">
        <v>0.72881932999999999</v>
      </c>
      <c r="AH36" s="35">
        <v>0.73226975999999999</v>
      </c>
      <c r="AI36" s="35">
        <v>0.72343385999999998</v>
      </c>
      <c r="AJ36" s="35">
        <v>0.72233977999999999</v>
      </c>
      <c r="AK36" s="35">
        <v>0.73369868000000005</v>
      </c>
      <c r="AL36" s="35">
        <v>0.74157267000000004</v>
      </c>
      <c r="AM36" s="35">
        <v>0.72952700999999998</v>
      </c>
      <c r="AN36" s="35">
        <v>0.72697447999999998</v>
      </c>
      <c r="AO36" s="35">
        <v>0.72707274</v>
      </c>
      <c r="AP36" s="35">
        <v>0.72169572999999998</v>
      </c>
      <c r="AQ36" s="35">
        <v>0.74555426999999996</v>
      </c>
      <c r="AR36" s="35">
        <v>0.73036712000000004</v>
      </c>
      <c r="AS36" s="35">
        <v>0.70720413000000004</v>
      </c>
      <c r="AT36" s="35">
        <v>0.72599550999999996</v>
      </c>
      <c r="AU36" s="35">
        <v>0.71835638999999996</v>
      </c>
      <c r="AV36" s="35">
        <v>0.74590482999999996</v>
      </c>
      <c r="AW36" s="35">
        <v>0.74427109000000002</v>
      </c>
      <c r="AX36" s="35">
        <v>0.74319873000000003</v>
      </c>
      <c r="AY36" s="35">
        <v>0.73713572000000005</v>
      </c>
      <c r="AZ36" s="35">
        <v>0.72992102000000003</v>
      </c>
      <c r="BA36" s="35">
        <v>0.72913380000000005</v>
      </c>
      <c r="BB36" s="35">
        <v>0.71626400999999995</v>
      </c>
      <c r="BC36" s="35">
        <v>0.71910198000000003</v>
      </c>
      <c r="BD36" s="35">
        <v>0.72768549999999999</v>
      </c>
      <c r="BE36" s="35">
        <v>0.72870692999999997</v>
      </c>
      <c r="BF36" s="35">
        <v>0.74290597999999997</v>
      </c>
      <c r="BG36" s="35">
        <v>0.72317942999999996</v>
      </c>
      <c r="BH36" s="35">
        <v>0.71833325999999997</v>
      </c>
      <c r="BI36" s="35">
        <v>0.73477115999999998</v>
      </c>
      <c r="BJ36" s="35">
        <v>0.72994276000000002</v>
      </c>
      <c r="BK36" s="35">
        <v>0.75041621999999997</v>
      </c>
      <c r="BL36" s="35">
        <v>0.73353088</v>
      </c>
      <c r="BM36" s="35">
        <v>0.73694716999999998</v>
      </c>
      <c r="BN36" s="35">
        <v>0.71261262999999997</v>
      </c>
      <c r="BO36" s="35">
        <v>0.74799563000000002</v>
      </c>
      <c r="BP36" s="35">
        <v>0.74289605999999997</v>
      </c>
      <c r="BQ36" s="35">
        <v>0.71883131</v>
      </c>
      <c r="BR36" s="35">
        <v>0.72192889000000005</v>
      </c>
      <c r="BS36" s="35">
        <v>0.70828515000000003</v>
      </c>
      <c r="BT36" s="35">
        <v>0.73936383000000006</v>
      </c>
      <c r="BU36" s="35">
        <v>0.70472005999999998</v>
      </c>
      <c r="BV36" s="35">
        <v>0.73847799999999997</v>
      </c>
      <c r="BW36" s="35">
        <v>0.73206914000000001</v>
      </c>
      <c r="BX36" s="35">
        <v>0.75735361000000001</v>
      </c>
      <c r="BY36" s="35">
        <v>0.70119796000000001</v>
      </c>
      <c r="BZ36" s="35">
        <v>0.74961465999999999</v>
      </c>
      <c r="CA36" s="35">
        <v>0.72794351999999996</v>
      </c>
      <c r="CB36" s="35">
        <v>0.74162192999999998</v>
      </c>
      <c r="CC36" s="35">
        <v>0.72937118000000001</v>
      </c>
      <c r="CD36" s="35">
        <v>0.73936844000000002</v>
      </c>
      <c r="CE36" s="35">
        <v>0.72505408999999998</v>
      </c>
      <c r="CF36" s="35">
        <v>0.73480528000000001</v>
      </c>
      <c r="CG36" s="35">
        <v>0.73635360999999999</v>
      </c>
      <c r="CH36" s="35">
        <v>0.73827856000000003</v>
      </c>
      <c r="CI36" s="35">
        <v>0.73307102000000002</v>
      </c>
      <c r="CJ36" s="35">
        <v>0.71456697000000002</v>
      </c>
      <c r="CK36" s="35">
        <v>0.71298083000000001</v>
      </c>
      <c r="CL36" s="35">
        <v>0.72278867999999996</v>
      </c>
      <c r="CM36" s="35">
        <v>0.72463964999999997</v>
      </c>
      <c r="CN36" s="35">
        <v>0.71091371999999997</v>
      </c>
      <c r="CO36" s="35">
        <v>0.73084380000000004</v>
      </c>
      <c r="CP36" s="35">
        <v>0.72254472999999997</v>
      </c>
      <c r="CQ36" s="35">
        <v>0.73726681999999999</v>
      </c>
      <c r="CR36" s="35">
        <v>0.70859185000000002</v>
      </c>
      <c r="CS36" s="35">
        <v>0.73968241000000001</v>
      </c>
      <c r="CT36" s="35">
        <v>0.74339814000000004</v>
      </c>
      <c r="CU36" s="35">
        <v>0.72784649999999995</v>
      </c>
      <c r="CV36" s="35">
        <v>0.74502957999999997</v>
      </c>
      <c r="CW36" s="35">
        <v>0.71092785000000003</v>
      </c>
      <c r="CX36" s="35">
        <v>0.69142046999999995</v>
      </c>
      <c r="CY36" s="35">
        <v>0.70984135999999998</v>
      </c>
      <c r="CZ36" s="35">
        <v>0.72591158</v>
      </c>
      <c r="DA36" s="35">
        <v>0.71867086999999996</v>
      </c>
      <c r="DB36" s="35">
        <v>0.70775515</v>
      </c>
      <c r="DC36" s="35">
        <v>0.73053374000000004</v>
      </c>
      <c r="DD36" s="35">
        <v>0.72542795999999998</v>
      </c>
      <c r="DE36" s="35">
        <v>0.72656536000000005</v>
      </c>
      <c r="DF36" s="35">
        <v>0.73413503999999996</v>
      </c>
      <c r="DG36" s="35">
        <v>0.71062890999999995</v>
      </c>
      <c r="DH36" s="35">
        <v>0.71798066999999999</v>
      </c>
      <c r="DI36" s="35">
        <v>0.73135762000000004</v>
      </c>
      <c r="DJ36" s="35">
        <v>0.72788609000000004</v>
      </c>
      <c r="DK36" s="35">
        <v>0.74685564000000004</v>
      </c>
      <c r="DL36" s="35">
        <v>0.73466693000000005</v>
      </c>
      <c r="DM36" s="35">
        <v>0.73580899</v>
      </c>
      <c r="DN36" s="35">
        <v>0.72474912000000002</v>
      </c>
      <c r="DO36" s="35">
        <v>0.72641374000000003</v>
      </c>
      <c r="DP36" s="35">
        <v>0.75687747000000005</v>
      </c>
      <c r="DQ36" s="35">
        <v>0.71920304000000002</v>
      </c>
      <c r="DR36" s="35">
        <v>0.72839547000000004</v>
      </c>
      <c r="DS36" s="35">
        <v>0.76858477999999997</v>
      </c>
      <c r="DT36" s="35">
        <v>0.73864163999999999</v>
      </c>
      <c r="DU36" s="35">
        <v>0.74869010999999996</v>
      </c>
      <c r="DV36" s="35">
        <v>0.76911293999999997</v>
      </c>
      <c r="DW36" s="35">
        <v>0.68205165000000001</v>
      </c>
      <c r="DX36" s="35">
        <v>0.72822668000000002</v>
      </c>
      <c r="DY36" s="35">
        <v>0.74475166999999998</v>
      </c>
      <c r="DZ36" s="35">
        <v>0.74699187</v>
      </c>
      <c r="EA36" s="35">
        <v>0.70543166999999996</v>
      </c>
      <c r="EB36" s="35">
        <v>0.66364014000000005</v>
      </c>
      <c r="EC36" s="35">
        <v>0.70474649</v>
      </c>
      <c r="ED36" s="35">
        <v>0.71747393000000004</v>
      </c>
      <c r="EE36" s="35">
        <v>0.76072432999999995</v>
      </c>
      <c r="EF36" s="35">
        <v>0.71770856999999999</v>
      </c>
      <c r="EG36" s="35">
        <v>0.73985937000000002</v>
      </c>
      <c r="EH36" s="35">
        <v>0.72582948999999997</v>
      </c>
      <c r="EI36" s="35">
        <v>0.75216517000000005</v>
      </c>
      <c r="EJ36" s="35">
        <v>0.72742664999999995</v>
      </c>
      <c r="EK36" s="35">
        <v>0.76600025000000005</v>
      </c>
      <c r="EL36" s="35">
        <v>0.74347529000000001</v>
      </c>
      <c r="EM36" s="35">
        <v>0.74865274999999998</v>
      </c>
      <c r="EN36" s="35">
        <v>0.76501881000000005</v>
      </c>
      <c r="EO36" s="35">
        <v>0.74659218999999999</v>
      </c>
      <c r="EP36" s="35">
        <v>0.73638475000000003</v>
      </c>
      <c r="EQ36" s="35">
        <v>0.75605045999999998</v>
      </c>
      <c r="ER36" s="35">
        <v>0.74387773999999995</v>
      </c>
      <c r="ES36" s="35">
        <v>0.71429489000000002</v>
      </c>
      <c r="ET36" s="35">
        <v>0.73256248999999996</v>
      </c>
      <c r="EU36" s="35">
        <v>0.74443621000000004</v>
      </c>
      <c r="EV36" s="35">
        <v>0.72762106999999998</v>
      </c>
      <c r="EW36" s="35">
        <v>0.70348100999999996</v>
      </c>
      <c r="EX36" s="35">
        <v>0.72758860000000003</v>
      </c>
      <c r="EY36" s="35">
        <v>0.73868277999999998</v>
      </c>
      <c r="EZ36" s="35">
        <v>0.73439261</v>
      </c>
      <c r="FA36" s="35">
        <v>0.73731530999999995</v>
      </c>
      <c r="FB36" s="35">
        <v>0.71317788000000004</v>
      </c>
      <c r="FC36" s="35">
        <v>0.73344655999999997</v>
      </c>
      <c r="FD36" s="35">
        <v>0.73877788</v>
      </c>
      <c r="FE36" s="35">
        <v>0.72633528000000003</v>
      </c>
      <c r="FF36" s="35">
        <v>0.73151264999999999</v>
      </c>
      <c r="FG36" s="35">
        <v>0.72136619999999996</v>
      </c>
      <c r="FH36" s="35">
        <v>0.73184762999999997</v>
      </c>
      <c r="FI36" s="35">
        <v>0.74702230000000003</v>
      </c>
      <c r="FJ36" s="35">
        <v>0.72387175000000004</v>
      </c>
      <c r="FK36" s="35">
        <v>0.73098185000000004</v>
      </c>
      <c r="FL36" s="35">
        <v>0.76526055000000004</v>
      </c>
      <c r="FM36" s="35">
        <v>0.74070597999999999</v>
      </c>
      <c r="FN36" s="35">
        <v>0.73663420000000002</v>
      </c>
      <c r="FO36" s="35">
        <v>0.75148709000000002</v>
      </c>
      <c r="FP36" s="35">
        <v>0.72648144000000003</v>
      </c>
      <c r="FQ36" s="35">
        <v>0.71719511000000002</v>
      </c>
      <c r="FR36" s="35">
        <v>0.72288454000000002</v>
      </c>
      <c r="FS36" s="35">
        <v>0.76977530000000005</v>
      </c>
      <c r="FT36" s="35">
        <v>0.72162577000000006</v>
      </c>
      <c r="FU36" s="35">
        <v>0.72379753000000002</v>
      </c>
      <c r="FV36" s="35">
        <v>0.73618852000000001</v>
      </c>
      <c r="FW36" s="35">
        <v>0.72645026000000001</v>
      </c>
      <c r="FX36" s="35">
        <v>0.70284961000000001</v>
      </c>
      <c r="FY36" s="35">
        <v>0.73218074</v>
      </c>
      <c r="FZ36" s="35">
        <v>0.72465362</v>
      </c>
      <c r="GA36" s="35">
        <v>0.76751007000000004</v>
      </c>
      <c r="GB36" s="35">
        <v>0.74290237000000003</v>
      </c>
      <c r="GC36" s="35">
        <v>0.71263662000000005</v>
      </c>
      <c r="GD36" s="35">
        <v>0.70254395000000003</v>
      </c>
      <c r="GE36" s="35">
        <v>0.73546338</v>
      </c>
      <c r="GF36" s="35">
        <v>0.76112444000000001</v>
      </c>
      <c r="GG36" s="35">
        <v>0.74488920999999997</v>
      </c>
      <c r="GH36" s="35">
        <v>0.73126113999999998</v>
      </c>
      <c r="GI36" s="35">
        <v>0.72851105999999999</v>
      </c>
      <c r="GJ36" s="35">
        <v>0.73515953000000001</v>
      </c>
      <c r="GK36" s="35">
        <v>0.69562033999999995</v>
      </c>
      <c r="GL36" s="35">
        <v>0.72003174999999997</v>
      </c>
      <c r="GM36" s="35">
        <v>0.75719687000000002</v>
      </c>
      <c r="GN36" s="35">
        <v>0.81139302999999996</v>
      </c>
      <c r="GO36" s="35">
        <v>0.68804114999999999</v>
      </c>
      <c r="GP36" s="35">
        <v>0.73392877999999995</v>
      </c>
      <c r="GQ36" s="35">
        <v>0.71443928000000001</v>
      </c>
      <c r="GR36" s="35">
        <v>0.72416475999999996</v>
      </c>
      <c r="GS36" s="35">
        <v>0.79294582999999996</v>
      </c>
      <c r="GT36" s="35">
        <v>0.69147809999999998</v>
      </c>
      <c r="GU36" s="35">
        <v>0.73802526999999996</v>
      </c>
      <c r="GV36" s="35">
        <v>0.72538367000000004</v>
      </c>
      <c r="GW36" s="35">
        <v>0.70558496999999998</v>
      </c>
      <c r="GX36" s="35">
        <v>0.71782237000000004</v>
      </c>
      <c r="GY36" s="35">
        <v>0.72415364999999998</v>
      </c>
      <c r="GZ36" s="35">
        <v>0.75713421999999997</v>
      </c>
      <c r="HA36" s="35">
        <v>0.71799153999999998</v>
      </c>
      <c r="HB36" s="35">
        <v>0.72585193000000003</v>
      </c>
      <c r="HC36" s="35">
        <v>0.73797917999999996</v>
      </c>
      <c r="HD36" s="35">
        <v>0.74550501999999996</v>
      </c>
      <c r="HE36" s="35">
        <v>0.72427582000000001</v>
      </c>
      <c r="HF36" s="35">
        <v>0.74706894000000001</v>
      </c>
      <c r="HG36" s="35">
        <v>0.71338610000000002</v>
      </c>
      <c r="HH36" s="35">
        <v>0.71034111</v>
      </c>
      <c r="HI36" s="35">
        <v>0.72270323000000003</v>
      </c>
      <c r="HJ36" s="35">
        <v>0.71457205999999995</v>
      </c>
      <c r="HK36" s="35">
        <v>0.77298469000000003</v>
      </c>
      <c r="HL36" s="35">
        <v>0.72947194999999998</v>
      </c>
      <c r="HM36" s="35">
        <v>0.73187237000000005</v>
      </c>
      <c r="HN36" s="35">
        <v>0.72013863</v>
      </c>
      <c r="HO36" s="35">
        <v>0.74508757999999997</v>
      </c>
      <c r="HP36" s="35">
        <v>0.75370521000000001</v>
      </c>
      <c r="HQ36" s="35">
        <v>0.71997047999999997</v>
      </c>
      <c r="HR36" s="35">
        <v>0.73687654999999996</v>
      </c>
      <c r="HS36" s="35">
        <v>0.72989475999999998</v>
      </c>
      <c r="HT36" s="35">
        <v>0.72691340000000004</v>
      </c>
      <c r="HU36" s="35">
        <v>0.73755068999999995</v>
      </c>
      <c r="HV36" s="35">
        <v>0.70044364000000003</v>
      </c>
      <c r="HW36" s="35">
        <v>0.71775480999999997</v>
      </c>
      <c r="HX36" s="35">
        <v>0.71903406000000003</v>
      </c>
      <c r="HY36" s="35">
        <v>0.75761350000000005</v>
      </c>
      <c r="HZ36" s="35">
        <v>0.73711274000000004</v>
      </c>
      <c r="IA36" s="35">
        <v>0.74401322000000003</v>
      </c>
      <c r="IB36" s="35">
        <v>0.72076857999999999</v>
      </c>
      <c r="IC36" s="35">
        <v>0.72431975000000004</v>
      </c>
      <c r="ID36" s="35">
        <v>0.73601919999999998</v>
      </c>
      <c r="IE36" s="35">
        <v>0.71184824999999996</v>
      </c>
      <c r="IF36" s="35">
        <v>0.76356749999999995</v>
      </c>
      <c r="IG36" s="35">
        <v>0.74163539000000001</v>
      </c>
      <c r="IH36" s="35">
        <v>0.72719758999999995</v>
      </c>
      <c r="II36" s="35">
        <v>0.73819829000000003</v>
      </c>
      <c r="IJ36" s="35">
        <v>0.72470502000000003</v>
      </c>
      <c r="IK36" s="35">
        <v>0.73909062000000003</v>
      </c>
      <c r="IL36" s="35">
        <v>0.72082652999999997</v>
      </c>
      <c r="IM36" s="35">
        <v>0.72911130000000002</v>
      </c>
      <c r="IN36" s="35">
        <v>0.73440888000000004</v>
      </c>
      <c r="IO36" s="35">
        <v>0.72819716000000001</v>
      </c>
      <c r="IP36" s="35">
        <v>0.72541162999999997</v>
      </c>
      <c r="IQ36" s="35">
        <v>0.72859004000000005</v>
      </c>
      <c r="IR36" s="35">
        <v>0.73476609000000004</v>
      </c>
      <c r="IS36" s="35">
        <v>0.72323097000000003</v>
      </c>
      <c r="IT36" s="35">
        <v>0.72705551000000002</v>
      </c>
      <c r="IU36" s="35">
        <v>0.72520037000000004</v>
      </c>
      <c r="IV36" s="35">
        <v>0.72968195999999996</v>
      </c>
      <c r="IW36" s="35">
        <v>0.73146657000000004</v>
      </c>
      <c r="IX36" s="35">
        <v>0.74353130000000001</v>
      </c>
      <c r="IY36" s="35">
        <v>0.71042094</v>
      </c>
      <c r="IZ36" s="35">
        <v>0.73949511999999995</v>
      </c>
      <c r="JA36" s="35">
        <v>0.72916632000000003</v>
      </c>
      <c r="JB36" s="35">
        <v>0.74085257999999998</v>
      </c>
      <c r="JC36" s="35">
        <v>0.72901782000000004</v>
      </c>
      <c r="JD36" s="35">
        <v>0.71546416999999995</v>
      </c>
      <c r="JK36" s="21"/>
      <c r="JL36" s="21"/>
      <c r="JM36" s="20"/>
      <c r="JN36" s="35"/>
      <c r="JO36" s="35"/>
      <c r="JP36" s="35"/>
      <c r="JQ36" s="41"/>
      <c r="JR36" s="35"/>
      <c r="JS36" s="35"/>
      <c r="JT36" s="35"/>
      <c r="JU36" s="35"/>
      <c r="JV36" s="35"/>
      <c r="JW36" s="35"/>
    </row>
    <row r="37" spans="1:283" ht="13.8" x14ac:dyDescent="0.3">
      <c r="A37" s="19" t="s">
        <v>11</v>
      </c>
      <c r="B37" s="18" t="s">
        <v>47</v>
      </c>
      <c r="C37" s="14">
        <v>1090</v>
      </c>
      <c r="D37" s="36">
        <v>0.77139287999999995</v>
      </c>
      <c r="E37" s="37">
        <v>0.77152540000000003</v>
      </c>
      <c r="F37" s="35">
        <v>0.76761148999999995</v>
      </c>
      <c r="G37" s="35">
        <v>0.76063979000000004</v>
      </c>
      <c r="H37" s="35">
        <v>0.76368641000000004</v>
      </c>
      <c r="I37" s="35">
        <v>0.77138139999999999</v>
      </c>
      <c r="J37" s="35">
        <v>0.78740136999999999</v>
      </c>
      <c r="K37" s="35">
        <v>0.76360167999999995</v>
      </c>
      <c r="L37" s="35">
        <v>0.76924477999999996</v>
      </c>
      <c r="M37" s="35">
        <v>0.77576423000000005</v>
      </c>
      <c r="N37" s="35">
        <v>0.77637285</v>
      </c>
      <c r="O37" s="35">
        <v>0.77407506999999998</v>
      </c>
      <c r="P37" s="35">
        <v>0.75890796999999999</v>
      </c>
      <c r="Q37" s="35">
        <v>0.77891975000000002</v>
      </c>
      <c r="R37" s="35">
        <v>0.75440936000000003</v>
      </c>
      <c r="S37" s="35">
        <v>0.78335958999999999</v>
      </c>
      <c r="T37" s="35">
        <v>0.76544327999999995</v>
      </c>
      <c r="U37" s="35">
        <v>0.75381502</v>
      </c>
      <c r="V37" s="35">
        <v>0.78195340999999996</v>
      </c>
      <c r="W37" s="35">
        <v>0.77338284000000002</v>
      </c>
      <c r="X37" s="35">
        <v>0.79247906000000001</v>
      </c>
      <c r="Y37" s="35">
        <v>0.78826262999999996</v>
      </c>
      <c r="Z37" s="35">
        <v>0.75937038000000001</v>
      </c>
      <c r="AA37" s="35">
        <v>0.79488961999999996</v>
      </c>
      <c r="AB37" s="35">
        <v>0.78194154000000005</v>
      </c>
      <c r="AC37" s="35">
        <v>0.77810933000000004</v>
      </c>
      <c r="AD37" s="35">
        <v>0.77133863999999996</v>
      </c>
      <c r="AE37" s="35">
        <v>0.76993396000000003</v>
      </c>
      <c r="AF37" s="35">
        <v>0.76607935999999999</v>
      </c>
      <c r="AG37" s="35">
        <v>0.77223483999999998</v>
      </c>
      <c r="AH37" s="35">
        <v>0.77379503000000005</v>
      </c>
      <c r="AI37" s="35">
        <v>0.76510926000000001</v>
      </c>
      <c r="AJ37" s="35">
        <v>0.76425257000000002</v>
      </c>
      <c r="AK37" s="35">
        <v>0.77440739000000003</v>
      </c>
      <c r="AL37" s="35">
        <v>0.78402501000000002</v>
      </c>
      <c r="AM37" s="35">
        <v>0.77090988000000005</v>
      </c>
      <c r="AN37" s="35">
        <v>0.76801618999999999</v>
      </c>
      <c r="AO37" s="35">
        <v>0.76949692999999997</v>
      </c>
      <c r="AP37" s="35">
        <v>0.76343231</v>
      </c>
      <c r="AQ37" s="35">
        <v>0.78645774999999996</v>
      </c>
      <c r="AR37" s="35">
        <v>0.77156617000000005</v>
      </c>
      <c r="AS37" s="35">
        <v>0.75103328000000003</v>
      </c>
      <c r="AT37" s="35">
        <v>0.76605232000000001</v>
      </c>
      <c r="AU37" s="35">
        <v>0.76144500000000004</v>
      </c>
      <c r="AV37" s="35">
        <v>0.78704534999999998</v>
      </c>
      <c r="AW37" s="35">
        <v>0.78454502999999998</v>
      </c>
      <c r="AX37" s="35">
        <v>0.78400488000000002</v>
      </c>
      <c r="AY37" s="35">
        <v>0.78012689000000002</v>
      </c>
      <c r="AZ37" s="35">
        <v>0.76765777999999996</v>
      </c>
      <c r="BA37" s="35">
        <v>0.77142540000000004</v>
      </c>
      <c r="BB37" s="35">
        <v>0.75944065000000005</v>
      </c>
      <c r="BC37" s="35">
        <v>0.76194125999999995</v>
      </c>
      <c r="BD37" s="35">
        <v>0.76925452000000005</v>
      </c>
      <c r="BE37" s="35">
        <v>0.76910586000000003</v>
      </c>
      <c r="BF37" s="35">
        <v>0.78487788999999997</v>
      </c>
      <c r="BG37" s="35">
        <v>0.76340653000000003</v>
      </c>
      <c r="BH37" s="35">
        <v>0.76054854000000005</v>
      </c>
      <c r="BI37" s="35">
        <v>0.7800319</v>
      </c>
      <c r="BJ37" s="35">
        <v>0.77211770999999996</v>
      </c>
      <c r="BK37" s="35">
        <v>0.78558300000000003</v>
      </c>
      <c r="BL37" s="35">
        <v>0.78163333999999995</v>
      </c>
      <c r="BM37" s="35">
        <v>0.77445675999999997</v>
      </c>
      <c r="BN37" s="35">
        <v>0.75725889000000002</v>
      </c>
      <c r="BO37" s="35">
        <v>0.78799445000000001</v>
      </c>
      <c r="BP37" s="35">
        <v>0.78519404000000004</v>
      </c>
      <c r="BQ37" s="35">
        <v>0.75725927999999998</v>
      </c>
      <c r="BR37" s="35">
        <v>0.76585687999999996</v>
      </c>
      <c r="BS37" s="35">
        <v>0.75010690999999996</v>
      </c>
      <c r="BT37" s="35">
        <v>0.78691518000000005</v>
      </c>
      <c r="BU37" s="35">
        <v>0.74159189999999997</v>
      </c>
      <c r="BV37" s="35">
        <v>0.78042235999999998</v>
      </c>
      <c r="BW37" s="35">
        <v>0.76966111999999998</v>
      </c>
      <c r="BX37" s="35">
        <v>0.80860321999999996</v>
      </c>
      <c r="BY37" s="35">
        <v>0.73567945999999995</v>
      </c>
      <c r="BZ37" s="35">
        <v>0.79025343000000003</v>
      </c>
      <c r="CA37" s="35">
        <v>0.76832418999999996</v>
      </c>
      <c r="CB37" s="35">
        <v>0.78530802</v>
      </c>
      <c r="CC37" s="35">
        <v>0.77079368999999998</v>
      </c>
      <c r="CD37" s="35">
        <v>0.78189295999999997</v>
      </c>
      <c r="CE37" s="35">
        <v>0.76417906999999996</v>
      </c>
      <c r="CF37" s="35">
        <v>0.77671961</v>
      </c>
      <c r="CG37" s="35">
        <v>0.77778906000000003</v>
      </c>
      <c r="CH37" s="35">
        <v>0.78217809999999999</v>
      </c>
      <c r="CI37" s="35">
        <v>0.76946568000000004</v>
      </c>
      <c r="CJ37" s="35">
        <v>0.76117228000000003</v>
      </c>
      <c r="CK37" s="35">
        <v>0.74962388999999996</v>
      </c>
      <c r="CL37" s="35">
        <v>0.76659235999999997</v>
      </c>
      <c r="CM37" s="35">
        <v>0.76984854999999996</v>
      </c>
      <c r="CN37" s="35">
        <v>0.75102506000000002</v>
      </c>
      <c r="CO37" s="35">
        <v>0.77448174000000003</v>
      </c>
      <c r="CP37" s="35">
        <v>0.76323839000000004</v>
      </c>
      <c r="CQ37" s="35">
        <v>0.77918346000000005</v>
      </c>
      <c r="CR37" s="35">
        <v>0.75164321999999995</v>
      </c>
      <c r="CS37" s="35">
        <v>0.77901598999999999</v>
      </c>
      <c r="CT37" s="35">
        <v>0.78259592</v>
      </c>
      <c r="CU37" s="35">
        <v>0.77017223000000001</v>
      </c>
      <c r="CV37" s="35">
        <v>0.78783619000000005</v>
      </c>
      <c r="CW37" s="35">
        <v>0.75153102000000005</v>
      </c>
      <c r="CX37" s="35">
        <v>0.73401293000000001</v>
      </c>
      <c r="CY37" s="35">
        <v>0.75058069999999999</v>
      </c>
      <c r="CZ37" s="35">
        <v>0.76476429000000001</v>
      </c>
      <c r="DA37" s="35">
        <v>0.76193509999999998</v>
      </c>
      <c r="DB37" s="35">
        <v>0.75037142999999995</v>
      </c>
      <c r="DC37" s="35">
        <v>0.77203107000000004</v>
      </c>
      <c r="DD37" s="35">
        <v>0.76863026000000001</v>
      </c>
      <c r="DE37" s="35">
        <v>0.76507493000000004</v>
      </c>
      <c r="DF37" s="35">
        <v>0.77723534999999999</v>
      </c>
      <c r="DG37" s="35">
        <v>0.75205858000000003</v>
      </c>
      <c r="DH37" s="35">
        <v>0.77307415999999995</v>
      </c>
      <c r="DI37" s="35">
        <v>0.76477203999999999</v>
      </c>
      <c r="DJ37" s="35">
        <v>0.76868418999999999</v>
      </c>
      <c r="DK37" s="35">
        <v>0.78706790000000004</v>
      </c>
      <c r="DL37" s="35">
        <v>0.77546610999999999</v>
      </c>
      <c r="DM37" s="35">
        <v>0.77726474000000001</v>
      </c>
      <c r="DN37" s="35">
        <v>0.76798546000000001</v>
      </c>
      <c r="DO37" s="35">
        <v>0.76717329000000001</v>
      </c>
      <c r="DP37" s="35">
        <v>0.80094288000000002</v>
      </c>
      <c r="DQ37" s="35">
        <v>0.76265360000000004</v>
      </c>
      <c r="DR37" s="35">
        <v>0.77000208000000003</v>
      </c>
      <c r="DS37" s="35">
        <v>0.81144632000000005</v>
      </c>
      <c r="DT37" s="35">
        <v>0.77870117999999999</v>
      </c>
      <c r="DU37" s="35">
        <v>0.79205015000000001</v>
      </c>
      <c r="DV37" s="35">
        <v>0.78048487</v>
      </c>
      <c r="DW37" s="35">
        <v>0.75151228999999997</v>
      </c>
      <c r="DX37" s="35">
        <v>0.76955320000000005</v>
      </c>
      <c r="DY37" s="35">
        <v>0.78407391000000004</v>
      </c>
      <c r="DZ37" s="35">
        <v>0.78403171999999999</v>
      </c>
      <c r="EA37" s="35">
        <v>0.75046614</v>
      </c>
      <c r="EB37" s="35">
        <v>0.71131842999999995</v>
      </c>
      <c r="EC37" s="35">
        <v>0.74717918999999999</v>
      </c>
      <c r="ED37" s="35">
        <v>0.76073259999999998</v>
      </c>
      <c r="EE37" s="35">
        <v>0.80192423999999995</v>
      </c>
      <c r="EF37" s="35">
        <v>0.76082612000000005</v>
      </c>
      <c r="EG37" s="35">
        <v>0.7811401</v>
      </c>
      <c r="EH37" s="35">
        <v>0.76966763000000005</v>
      </c>
      <c r="EI37" s="35">
        <v>0.79246110999999997</v>
      </c>
      <c r="EJ37" s="35">
        <v>0.77568355</v>
      </c>
      <c r="EK37" s="35">
        <v>0.80532767000000005</v>
      </c>
      <c r="EL37" s="35">
        <v>0.78600718000000003</v>
      </c>
      <c r="EM37" s="35">
        <v>0.78656159999999997</v>
      </c>
      <c r="EN37" s="35">
        <v>0.82199571999999999</v>
      </c>
      <c r="EO37" s="35">
        <v>0.77991562999999997</v>
      </c>
      <c r="EP37" s="35">
        <v>0.77319760000000004</v>
      </c>
      <c r="EQ37" s="35">
        <v>0.79831361999999995</v>
      </c>
      <c r="ER37" s="35">
        <v>0.78449396999999998</v>
      </c>
      <c r="ES37" s="35">
        <v>0.75606266</v>
      </c>
      <c r="ET37" s="35">
        <v>0.77194485000000002</v>
      </c>
      <c r="EU37" s="35">
        <v>0.78525073000000001</v>
      </c>
      <c r="EV37" s="35">
        <v>0.76710834000000006</v>
      </c>
      <c r="EW37" s="35">
        <v>0.75010948</v>
      </c>
      <c r="EX37" s="35">
        <v>0.76821492000000002</v>
      </c>
      <c r="EY37" s="35">
        <v>0.77960695000000002</v>
      </c>
      <c r="EZ37" s="35">
        <v>0.77667072999999998</v>
      </c>
      <c r="FA37" s="35">
        <v>0.77837299999999998</v>
      </c>
      <c r="FB37" s="35">
        <v>0.75598219</v>
      </c>
      <c r="FC37" s="35">
        <v>0.77359308999999998</v>
      </c>
      <c r="FD37" s="35">
        <v>0.77956517999999997</v>
      </c>
      <c r="FE37" s="35">
        <v>0.76978882999999998</v>
      </c>
      <c r="FF37" s="35">
        <v>0.7727001</v>
      </c>
      <c r="FG37" s="35">
        <v>0.76870777000000001</v>
      </c>
      <c r="FH37" s="35">
        <v>0.77389193999999994</v>
      </c>
      <c r="FI37" s="35">
        <v>0.78744691</v>
      </c>
      <c r="FJ37" s="35">
        <v>0.76750768999999996</v>
      </c>
      <c r="FK37" s="35">
        <v>0.77883952000000001</v>
      </c>
      <c r="FL37" s="35">
        <v>0.79689571000000003</v>
      </c>
      <c r="FM37" s="35">
        <v>0.78487834000000001</v>
      </c>
      <c r="FN37" s="35">
        <v>0.77883309000000001</v>
      </c>
      <c r="FO37" s="35">
        <v>0.79211633000000004</v>
      </c>
      <c r="FP37" s="35">
        <v>0.76954312000000002</v>
      </c>
      <c r="FQ37" s="35">
        <v>0.75868785000000005</v>
      </c>
      <c r="FR37" s="35">
        <v>0.76772664000000002</v>
      </c>
      <c r="FS37" s="35">
        <v>0.80752035</v>
      </c>
      <c r="FT37" s="35">
        <v>0.76453223999999997</v>
      </c>
      <c r="FU37" s="35">
        <v>0.76798303000000001</v>
      </c>
      <c r="FV37" s="35">
        <v>0.77973738999999997</v>
      </c>
      <c r="FW37" s="35">
        <v>0.76679275000000002</v>
      </c>
      <c r="FX37" s="35">
        <v>0.74590403999999999</v>
      </c>
      <c r="FY37" s="35">
        <v>0.77548660000000003</v>
      </c>
      <c r="FZ37" s="35">
        <v>0.76685292000000005</v>
      </c>
      <c r="GA37" s="35">
        <v>0.80470355000000005</v>
      </c>
      <c r="GB37" s="35">
        <v>0.78520933999999998</v>
      </c>
      <c r="GC37" s="35">
        <v>0.75317486</v>
      </c>
      <c r="GD37" s="35">
        <v>0.75054865000000004</v>
      </c>
      <c r="GE37" s="35">
        <v>0.77522338999999996</v>
      </c>
      <c r="GF37" s="35">
        <v>0.80501096999999999</v>
      </c>
      <c r="GG37" s="35">
        <v>0.78329026999999996</v>
      </c>
      <c r="GH37" s="35">
        <v>0.77384540999999996</v>
      </c>
      <c r="GI37" s="35">
        <v>0.77063157999999998</v>
      </c>
      <c r="GJ37" s="35">
        <v>0.77517636999999995</v>
      </c>
      <c r="GK37" s="35">
        <v>0.74029128</v>
      </c>
      <c r="GL37" s="35">
        <v>0.76280148000000003</v>
      </c>
      <c r="GM37" s="35">
        <v>0.80026922</v>
      </c>
      <c r="GN37" s="35">
        <v>0.84996528000000005</v>
      </c>
      <c r="GO37" s="35">
        <v>0.72904866999999995</v>
      </c>
      <c r="GP37" s="35">
        <v>0.77747385000000002</v>
      </c>
      <c r="GQ37" s="35">
        <v>0.75930202999999996</v>
      </c>
      <c r="GR37" s="35">
        <v>0.76719024999999996</v>
      </c>
      <c r="GS37" s="35">
        <v>0.82529017000000005</v>
      </c>
      <c r="GT37" s="35">
        <v>0.73507557999999995</v>
      </c>
      <c r="GU37" s="35">
        <v>0.77521249000000003</v>
      </c>
      <c r="GV37" s="35">
        <v>0.76507440999999998</v>
      </c>
      <c r="GW37" s="35">
        <v>0.74714122000000005</v>
      </c>
      <c r="GX37" s="35">
        <v>0.76253937999999999</v>
      </c>
      <c r="GY37" s="35">
        <v>0.76660835999999999</v>
      </c>
      <c r="GZ37" s="35">
        <v>0.79445051</v>
      </c>
      <c r="HA37" s="35">
        <v>0.76087256000000003</v>
      </c>
      <c r="HB37" s="35">
        <v>0.76481034000000003</v>
      </c>
      <c r="HC37" s="35">
        <v>0.77885888000000003</v>
      </c>
      <c r="HD37" s="35">
        <v>0.78669538999999999</v>
      </c>
      <c r="HE37" s="35">
        <v>0.76631576999999995</v>
      </c>
      <c r="HF37" s="35">
        <v>0.78736057000000004</v>
      </c>
      <c r="HG37" s="35">
        <v>0.75489529</v>
      </c>
      <c r="HH37" s="35">
        <v>0.75321766999999995</v>
      </c>
      <c r="HI37" s="35">
        <v>0.76540766999999998</v>
      </c>
      <c r="HJ37" s="35">
        <v>0.76044241999999995</v>
      </c>
      <c r="HK37" s="35">
        <v>0.81223308000000005</v>
      </c>
      <c r="HL37" s="35">
        <v>0.76829729999999996</v>
      </c>
      <c r="HM37" s="35">
        <v>0.77637012000000005</v>
      </c>
      <c r="HN37" s="35">
        <v>0.76414937999999999</v>
      </c>
      <c r="HO37" s="35">
        <v>0.78741249000000002</v>
      </c>
      <c r="HP37" s="35">
        <v>0.79129329000000004</v>
      </c>
      <c r="HQ37" s="35">
        <v>0.75987815000000003</v>
      </c>
      <c r="HR37" s="35">
        <v>0.76773407999999999</v>
      </c>
      <c r="HS37" s="35">
        <v>0.78015656</v>
      </c>
      <c r="HT37" s="35">
        <v>0.77135918999999997</v>
      </c>
      <c r="HU37" s="35">
        <v>0.77893071000000003</v>
      </c>
      <c r="HV37" s="35">
        <v>0.74169565999999998</v>
      </c>
      <c r="HW37" s="35">
        <v>0.76080219000000004</v>
      </c>
      <c r="HX37" s="35">
        <v>0.76382620000000001</v>
      </c>
      <c r="HY37" s="35">
        <v>0.80024326999999995</v>
      </c>
      <c r="HZ37" s="35">
        <v>0.7794082</v>
      </c>
      <c r="IA37" s="35">
        <v>0.78073208999999999</v>
      </c>
      <c r="IB37" s="35">
        <v>0.76235072999999998</v>
      </c>
      <c r="IC37" s="35">
        <v>0.76736567</v>
      </c>
      <c r="ID37" s="35">
        <v>0.77654034000000005</v>
      </c>
      <c r="IE37" s="35">
        <v>0.75800769999999995</v>
      </c>
      <c r="IF37" s="35">
        <v>0.79993137000000003</v>
      </c>
      <c r="IG37" s="35">
        <v>0.78356826999999996</v>
      </c>
      <c r="IH37" s="35">
        <v>0.76805177000000002</v>
      </c>
      <c r="II37" s="35">
        <v>0.78051853000000004</v>
      </c>
      <c r="IJ37" s="35">
        <v>0.76725483999999999</v>
      </c>
      <c r="IK37" s="35">
        <v>0.77958607999999996</v>
      </c>
      <c r="IL37" s="35">
        <v>0.76282306</v>
      </c>
      <c r="IM37" s="35">
        <v>0.77027573000000005</v>
      </c>
      <c r="IN37" s="35">
        <v>0.77581257999999997</v>
      </c>
      <c r="IO37" s="35">
        <v>0.76903736</v>
      </c>
      <c r="IP37" s="35">
        <v>0.76739805999999999</v>
      </c>
      <c r="IQ37" s="35">
        <v>0.76888880000000004</v>
      </c>
      <c r="IR37" s="35">
        <v>0.77733728999999996</v>
      </c>
      <c r="IS37" s="35">
        <v>0.76506300999999999</v>
      </c>
      <c r="IT37" s="35">
        <v>0.76907504999999998</v>
      </c>
      <c r="IU37" s="35">
        <v>0.76511255</v>
      </c>
      <c r="IV37" s="35">
        <v>0.77156323999999998</v>
      </c>
      <c r="IW37" s="35">
        <v>0.77280267999999996</v>
      </c>
      <c r="IX37" s="35">
        <v>0.78261309999999995</v>
      </c>
      <c r="IY37" s="35">
        <v>0.75163590000000002</v>
      </c>
      <c r="IZ37" s="35">
        <v>0.78103020999999995</v>
      </c>
      <c r="JA37" s="35">
        <v>0.77189352</v>
      </c>
      <c r="JB37" s="35">
        <v>0.77550975</v>
      </c>
      <c r="JC37" s="35">
        <v>0.77470223999999999</v>
      </c>
      <c r="JD37" s="35">
        <v>0.75674691999999999</v>
      </c>
      <c r="JK37" s="21"/>
      <c r="JL37" s="21"/>
      <c r="JM37" s="20"/>
      <c r="JN37" s="35"/>
      <c r="JO37" s="35"/>
      <c r="JP37" s="35"/>
      <c r="JQ37" s="41"/>
      <c r="JR37" s="35"/>
      <c r="JS37" s="35"/>
      <c r="JT37" s="35"/>
      <c r="JU37" s="35"/>
      <c r="JV37" s="35"/>
      <c r="JW37" s="35"/>
    </row>
    <row r="38" spans="1:283" ht="13.8" x14ac:dyDescent="0.3">
      <c r="A38" s="19" t="s">
        <v>11</v>
      </c>
      <c r="B38" s="18" t="s">
        <v>47</v>
      </c>
      <c r="C38" s="14">
        <v>1820</v>
      </c>
      <c r="D38" s="36">
        <v>0.77263207</v>
      </c>
      <c r="E38" s="37">
        <v>0.77985585999999996</v>
      </c>
      <c r="F38" s="35">
        <v>0.76419230000000005</v>
      </c>
      <c r="G38" s="35">
        <v>0.75479046999999999</v>
      </c>
      <c r="H38" s="35">
        <v>0.76876365000000002</v>
      </c>
      <c r="I38" s="35">
        <v>0.76715696</v>
      </c>
      <c r="J38" s="35">
        <v>0.79290168000000005</v>
      </c>
      <c r="K38" s="35">
        <v>0.75894656999999999</v>
      </c>
      <c r="L38" s="35">
        <v>0.76504954000000003</v>
      </c>
      <c r="M38" s="35">
        <v>0.78308907999999999</v>
      </c>
      <c r="N38" s="35">
        <v>0.77456290999999999</v>
      </c>
      <c r="O38" s="35">
        <v>0.76933266</v>
      </c>
      <c r="P38" s="35">
        <v>0.76275117000000003</v>
      </c>
      <c r="Q38" s="35">
        <v>0.78359893999999997</v>
      </c>
      <c r="R38" s="35">
        <v>0.74933868999999997</v>
      </c>
      <c r="S38" s="35">
        <v>0.77995972000000002</v>
      </c>
      <c r="T38" s="35">
        <v>0.77244044999999995</v>
      </c>
      <c r="U38" s="35">
        <v>0.75729884999999997</v>
      </c>
      <c r="V38" s="35">
        <v>0.78996482999999995</v>
      </c>
      <c r="W38" s="35">
        <v>0.77639276999999995</v>
      </c>
      <c r="X38" s="35">
        <v>0.79753841999999997</v>
      </c>
      <c r="Y38" s="35">
        <v>0.79244998</v>
      </c>
      <c r="Z38" s="35">
        <v>0.76219119999999996</v>
      </c>
      <c r="AA38" s="35">
        <v>0.79825073999999996</v>
      </c>
      <c r="AB38" s="35">
        <v>0.78251835000000003</v>
      </c>
      <c r="AC38" s="35">
        <v>0.77426790000000001</v>
      </c>
      <c r="AD38" s="35">
        <v>0.77259027999999996</v>
      </c>
      <c r="AE38" s="35">
        <v>0.77717053999999997</v>
      </c>
      <c r="AF38" s="35">
        <v>0.75791125999999998</v>
      </c>
      <c r="AG38" s="35">
        <v>0.77625714999999995</v>
      </c>
      <c r="AH38" s="35">
        <v>0.77758229000000001</v>
      </c>
      <c r="AI38" s="35">
        <v>0.76414188999999999</v>
      </c>
      <c r="AJ38" s="35">
        <v>0.76553751000000003</v>
      </c>
      <c r="AK38" s="35">
        <v>0.77588327999999995</v>
      </c>
      <c r="AL38" s="35">
        <v>0.78094591000000002</v>
      </c>
      <c r="AM38" s="35">
        <v>0.77567956999999998</v>
      </c>
      <c r="AN38" s="35">
        <v>0.76846272999999998</v>
      </c>
      <c r="AO38" s="35">
        <v>0.77279235000000002</v>
      </c>
      <c r="AP38" s="35">
        <v>0.76344199000000001</v>
      </c>
      <c r="AQ38" s="35">
        <v>0.78673806999999996</v>
      </c>
      <c r="AR38" s="35">
        <v>0.77177335999999996</v>
      </c>
      <c r="AS38" s="35">
        <v>0.75210281000000001</v>
      </c>
      <c r="AT38" s="35">
        <v>0.76636031000000004</v>
      </c>
      <c r="AU38" s="35">
        <v>0.76396032999999997</v>
      </c>
      <c r="AV38" s="35">
        <v>0.77073742999999995</v>
      </c>
      <c r="AW38" s="35">
        <v>0.79068400000000005</v>
      </c>
      <c r="AX38" s="35">
        <v>0.78747243</v>
      </c>
      <c r="AY38" s="35">
        <v>0.77890915999999999</v>
      </c>
      <c r="AZ38" s="35">
        <v>0.77480068000000002</v>
      </c>
      <c r="BA38" s="35">
        <v>0.76920272999999995</v>
      </c>
      <c r="BB38" s="35">
        <v>0.75248585000000001</v>
      </c>
      <c r="BC38" s="35">
        <v>0.75465152000000002</v>
      </c>
      <c r="BD38" s="35">
        <v>0.76934274999999996</v>
      </c>
      <c r="BE38" s="35">
        <v>0.77378402000000002</v>
      </c>
      <c r="BF38" s="35">
        <v>0.78450374</v>
      </c>
      <c r="BG38" s="35">
        <v>0.75572950000000005</v>
      </c>
      <c r="BH38" s="35">
        <v>0.76112820000000003</v>
      </c>
      <c r="BI38" s="35">
        <v>0.79391325000000001</v>
      </c>
      <c r="BJ38" s="35">
        <v>0.78919868999999998</v>
      </c>
      <c r="BK38" s="35">
        <v>0.78874736000000001</v>
      </c>
      <c r="BL38" s="35">
        <v>0.78359093999999996</v>
      </c>
      <c r="BM38" s="35">
        <v>0.78340971999999998</v>
      </c>
      <c r="BN38" s="35">
        <v>0.75969880000000001</v>
      </c>
      <c r="BO38" s="35">
        <v>0.79423836000000003</v>
      </c>
      <c r="BP38" s="35">
        <v>0.77780364999999996</v>
      </c>
      <c r="BQ38" s="35">
        <v>0.75875667000000002</v>
      </c>
      <c r="BR38" s="35">
        <v>0.77012164000000005</v>
      </c>
      <c r="BS38" s="35">
        <v>0.74955519000000004</v>
      </c>
      <c r="BT38" s="35">
        <v>0.76537193999999997</v>
      </c>
      <c r="BU38" s="35">
        <v>0.75799291999999996</v>
      </c>
      <c r="BV38" s="35">
        <v>0.77988075000000001</v>
      </c>
      <c r="BW38" s="35">
        <v>0.77674695000000005</v>
      </c>
      <c r="BX38" s="35">
        <v>0.79752288999999998</v>
      </c>
      <c r="BY38" s="35">
        <v>0.74621903999999994</v>
      </c>
      <c r="BZ38" s="35">
        <v>0.80292891</v>
      </c>
      <c r="CA38" s="35">
        <v>0.76945651000000004</v>
      </c>
      <c r="CB38" s="35">
        <v>0.79103942000000005</v>
      </c>
      <c r="CC38" s="35">
        <v>0.77399748999999995</v>
      </c>
      <c r="CD38" s="35">
        <v>0.78001586000000001</v>
      </c>
      <c r="CE38" s="35">
        <v>0.76989284999999996</v>
      </c>
      <c r="CF38" s="35">
        <v>0.78060985999999999</v>
      </c>
      <c r="CG38" s="35">
        <v>0.78476769999999996</v>
      </c>
      <c r="CH38" s="35">
        <v>0.77916905999999997</v>
      </c>
      <c r="CI38" s="35">
        <v>0.77611803000000001</v>
      </c>
      <c r="CJ38" s="35">
        <v>0.76713944000000001</v>
      </c>
      <c r="CK38" s="35">
        <v>0.74049229000000005</v>
      </c>
      <c r="CL38" s="35">
        <v>0.76948932000000003</v>
      </c>
      <c r="CM38" s="35">
        <v>0.77343059999999997</v>
      </c>
      <c r="CN38" s="35">
        <v>0.74426011999999997</v>
      </c>
      <c r="CO38" s="35">
        <v>0.77308253999999998</v>
      </c>
      <c r="CP38" s="35">
        <v>0.76551636999999995</v>
      </c>
      <c r="CQ38" s="35">
        <v>0.77627513999999997</v>
      </c>
      <c r="CR38" s="35">
        <v>0.75874333000000005</v>
      </c>
      <c r="CS38" s="35">
        <v>0.78229400999999998</v>
      </c>
      <c r="CT38" s="35">
        <v>0.78520701999999998</v>
      </c>
      <c r="CU38" s="35">
        <v>0.77438750999999995</v>
      </c>
      <c r="CV38" s="35">
        <v>0.78239267999999995</v>
      </c>
      <c r="CW38" s="35">
        <v>0.74957646</v>
      </c>
      <c r="CX38" s="35">
        <v>0.73709199000000003</v>
      </c>
      <c r="CY38" s="35">
        <v>0.74653305999999997</v>
      </c>
      <c r="CZ38" s="35">
        <v>0.76327361999999999</v>
      </c>
      <c r="DA38" s="35">
        <v>0.75672759000000001</v>
      </c>
      <c r="DB38" s="35">
        <v>0.74879574999999998</v>
      </c>
      <c r="DC38" s="35">
        <v>0.77427208999999997</v>
      </c>
      <c r="DD38" s="35">
        <v>0.76830701000000001</v>
      </c>
      <c r="DE38" s="35">
        <v>0.77580563999999996</v>
      </c>
      <c r="DF38" s="35">
        <v>0.76276538000000005</v>
      </c>
      <c r="DG38" s="35">
        <v>0.75112093000000002</v>
      </c>
      <c r="DH38" s="35">
        <v>1.1529266499999999</v>
      </c>
      <c r="DI38" s="35">
        <v>0.37721122000000001</v>
      </c>
      <c r="DJ38" s="35">
        <v>0.77141557999999999</v>
      </c>
      <c r="DK38" s="35">
        <v>0.79505444000000003</v>
      </c>
      <c r="DL38" s="35">
        <v>0.77729859999999995</v>
      </c>
      <c r="DM38" s="35">
        <v>0.78859305999999996</v>
      </c>
      <c r="DN38" s="35">
        <v>0.76515825999999998</v>
      </c>
      <c r="DO38" s="35">
        <v>0.77476928</v>
      </c>
      <c r="DP38" s="35">
        <v>0.79712008000000001</v>
      </c>
      <c r="DQ38" s="35">
        <v>0.76880512000000001</v>
      </c>
      <c r="DR38" s="35">
        <v>0.77342803999999998</v>
      </c>
      <c r="DS38" s="35">
        <v>0.82100242000000001</v>
      </c>
      <c r="DT38" s="35">
        <v>0.77680344000000001</v>
      </c>
      <c r="DU38" s="35">
        <v>0.79761150000000003</v>
      </c>
      <c r="DV38" s="35">
        <v>0.77412998</v>
      </c>
      <c r="DW38" s="35">
        <v>0.74922246000000003</v>
      </c>
      <c r="DX38" s="35">
        <v>0.7553955</v>
      </c>
      <c r="DY38" s="35">
        <v>0.78700570999999997</v>
      </c>
      <c r="DZ38" s="35">
        <v>0.79938039999999999</v>
      </c>
      <c r="EA38" s="35">
        <v>0.74478195999999997</v>
      </c>
      <c r="EB38" s="35">
        <v>0.69841361000000002</v>
      </c>
      <c r="EC38" s="35">
        <v>0.74737717000000004</v>
      </c>
      <c r="ED38" s="35">
        <v>0.76194863000000002</v>
      </c>
      <c r="EE38" s="35">
        <v>0.80185510000000004</v>
      </c>
      <c r="EF38" s="35">
        <v>0.76575097000000003</v>
      </c>
      <c r="EG38" s="35">
        <v>0.78370715999999996</v>
      </c>
      <c r="EH38" s="35">
        <v>0.76957763000000001</v>
      </c>
      <c r="EI38" s="35">
        <v>0.78942447999999998</v>
      </c>
      <c r="EJ38" s="35">
        <v>0.76741976000000001</v>
      </c>
      <c r="EK38" s="35">
        <v>0.81829649000000004</v>
      </c>
      <c r="EL38" s="35">
        <v>0.79189083999999998</v>
      </c>
      <c r="EM38" s="35">
        <v>0.78854358999999996</v>
      </c>
      <c r="EN38" s="35">
        <v>0.80044442000000005</v>
      </c>
      <c r="EO38" s="35">
        <v>0.80874771000000001</v>
      </c>
      <c r="EP38" s="35">
        <v>0.78483281999999999</v>
      </c>
      <c r="EQ38" s="35">
        <v>0.79437707999999996</v>
      </c>
      <c r="ER38" s="35">
        <v>0.78898698</v>
      </c>
      <c r="ES38" s="35">
        <v>0.75885172999999995</v>
      </c>
      <c r="ET38" s="35">
        <v>0.77310436000000005</v>
      </c>
      <c r="EU38" s="35">
        <v>0.78309289999999998</v>
      </c>
      <c r="EV38" s="35">
        <v>0.75003925000000005</v>
      </c>
      <c r="EW38" s="35">
        <v>0.74445885999999994</v>
      </c>
      <c r="EX38" s="35">
        <v>0.77620133999999996</v>
      </c>
      <c r="EY38" s="35">
        <v>0.78252695999999999</v>
      </c>
      <c r="EZ38" s="35">
        <v>0.76994401000000001</v>
      </c>
      <c r="FA38" s="35">
        <v>0.78389176999999999</v>
      </c>
      <c r="FB38" s="35">
        <v>0.74950901999999997</v>
      </c>
      <c r="FC38" s="35">
        <v>0.77751429999999999</v>
      </c>
      <c r="FD38" s="35">
        <v>0.76978866000000001</v>
      </c>
      <c r="FE38" s="35">
        <v>0.77440739999999997</v>
      </c>
      <c r="FF38" s="35">
        <v>0.75947865999999997</v>
      </c>
      <c r="FG38" s="35">
        <v>0.77432305000000001</v>
      </c>
      <c r="FH38" s="35">
        <v>0.78196023000000003</v>
      </c>
      <c r="FI38" s="35">
        <v>0.78411646999999995</v>
      </c>
      <c r="FJ38" s="35">
        <v>0.78839387000000005</v>
      </c>
      <c r="FK38" s="35">
        <v>0.77378400000000003</v>
      </c>
      <c r="FL38" s="35">
        <v>0.81168037000000004</v>
      </c>
      <c r="FM38" s="35">
        <v>0.79469683000000002</v>
      </c>
      <c r="FN38" s="35">
        <v>0.78148271000000002</v>
      </c>
      <c r="FO38" s="35">
        <v>0.79069411999999994</v>
      </c>
      <c r="FP38" s="35">
        <v>0.77942761999999999</v>
      </c>
      <c r="FQ38" s="35">
        <v>0.76411271999999997</v>
      </c>
      <c r="FR38" s="35">
        <v>0.77434950000000002</v>
      </c>
      <c r="FS38" s="35">
        <v>0.81150982999999999</v>
      </c>
      <c r="FT38" s="35">
        <v>0.75870525</v>
      </c>
      <c r="FU38" s="35">
        <v>0.77073332000000006</v>
      </c>
      <c r="FV38" s="35">
        <v>0.76645987000000004</v>
      </c>
      <c r="FW38" s="35">
        <v>0.76581644999999998</v>
      </c>
      <c r="FX38" s="35">
        <v>0.75978517000000001</v>
      </c>
      <c r="FY38" s="35">
        <v>0.77022263999999996</v>
      </c>
      <c r="FZ38" s="35">
        <v>0.77227133999999997</v>
      </c>
      <c r="GA38" s="35">
        <v>0.80455946</v>
      </c>
      <c r="GB38" s="35">
        <v>0.78803513000000003</v>
      </c>
      <c r="GC38" s="35">
        <v>0.75305327</v>
      </c>
      <c r="GD38" s="35">
        <v>0.75424184000000005</v>
      </c>
      <c r="GE38" s="35">
        <v>0.77898657000000004</v>
      </c>
      <c r="GF38" s="35">
        <v>0.80246565999999997</v>
      </c>
      <c r="GG38" s="35">
        <v>0.77943697999999995</v>
      </c>
      <c r="GH38" s="35">
        <v>0.77339354999999999</v>
      </c>
      <c r="GI38" s="35">
        <v>0.77288429000000003</v>
      </c>
      <c r="GJ38" s="35">
        <v>0.77201704999999998</v>
      </c>
      <c r="GK38" s="35">
        <v>0.73254624999999995</v>
      </c>
      <c r="GL38" s="35">
        <v>0.78056586999999999</v>
      </c>
      <c r="GM38" s="35">
        <v>0.80369278</v>
      </c>
      <c r="GN38" s="35">
        <v>0.86662647999999998</v>
      </c>
      <c r="GO38" s="35">
        <v>0.71786284</v>
      </c>
      <c r="GP38" s="35">
        <v>0.77713547999999999</v>
      </c>
      <c r="GQ38" s="35">
        <v>0.76627533999999997</v>
      </c>
      <c r="GR38" s="35">
        <v>0.76364615000000002</v>
      </c>
      <c r="GS38" s="35">
        <v>0.81811341000000004</v>
      </c>
      <c r="GT38" s="35">
        <v>0.69361887</v>
      </c>
      <c r="GU38" s="35">
        <v>0.78837447000000005</v>
      </c>
      <c r="GV38" s="35">
        <v>0.75713284999999997</v>
      </c>
      <c r="GW38" s="35">
        <v>0.74910383999999997</v>
      </c>
      <c r="GX38" s="35">
        <v>0.75652922</v>
      </c>
      <c r="GY38" s="35">
        <v>0.77056725000000004</v>
      </c>
      <c r="GZ38" s="35">
        <v>0.78676550000000001</v>
      </c>
      <c r="HA38" s="35">
        <v>0.75402544999999999</v>
      </c>
      <c r="HB38" s="35">
        <v>0.75674003000000001</v>
      </c>
      <c r="HC38" s="35">
        <v>0.77693637999999998</v>
      </c>
      <c r="HD38" s="35">
        <v>0.78131640999999996</v>
      </c>
      <c r="HE38" s="35">
        <v>0.76893657999999998</v>
      </c>
      <c r="HF38" s="35">
        <v>0.78319793000000004</v>
      </c>
      <c r="HG38" s="35">
        <v>0.74968338999999995</v>
      </c>
      <c r="HH38" s="35">
        <v>0.76577503000000002</v>
      </c>
      <c r="HI38" s="35">
        <v>0.76597375000000001</v>
      </c>
      <c r="HJ38" s="35">
        <v>0.76980459999999995</v>
      </c>
      <c r="HK38" s="35">
        <v>0.80514448000000005</v>
      </c>
      <c r="HL38" s="35">
        <v>0.77153046000000003</v>
      </c>
      <c r="HM38" s="35">
        <v>0.7621831</v>
      </c>
      <c r="HN38" s="35">
        <v>0.77354714999999996</v>
      </c>
      <c r="HO38" s="35">
        <v>0.78245410000000004</v>
      </c>
      <c r="HP38" s="35">
        <v>0.77969836000000003</v>
      </c>
      <c r="HQ38" s="35">
        <v>0.74420260000000005</v>
      </c>
      <c r="HR38" s="35">
        <v>0.78323871</v>
      </c>
      <c r="HS38" s="35">
        <v>0.76203421999999998</v>
      </c>
      <c r="HT38" s="35">
        <v>0.76664794999999997</v>
      </c>
      <c r="HU38" s="35">
        <v>0.79698774999999999</v>
      </c>
      <c r="HV38" s="35">
        <v>0.74171651000000005</v>
      </c>
      <c r="HW38" s="35">
        <v>0.78226941999999999</v>
      </c>
      <c r="HX38" s="35">
        <v>0.78733692</v>
      </c>
      <c r="HY38" s="35">
        <v>0.79051048000000002</v>
      </c>
      <c r="HZ38" s="35">
        <v>0.77882636999999999</v>
      </c>
      <c r="IA38" s="35">
        <v>0.78069164999999996</v>
      </c>
      <c r="IB38" s="35">
        <v>0.75480831999999998</v>
      </c>
      <c r="IC38" s="35">
        <v>0.77637296</v>
      </c>
      <c r="ID38" s="35">
        <v>0.77023454000000002</v>
      </c>
      <c r="IE38" s="35">
        <v>0.76388612</v>
      </c>
      <c r="IF38" s="35">
        <v>0.78924958000000001</v>
      </c>
      <c r="IG38" s="35">
        <v>0.78976835000000001</v>
      </c>
      <c r="IH38" s="35">
        <v>0.77234813000000002</v>
      </c>
      <c r="II38" s="35">
        <v>0.78806907000000004</v>
      </c>
      <c r="IJ38" s="35">
        <v>0.76901794999999995</v>
      </c>
      <c r="IK38" s="35">
        <v>0.77980097000000004</v>
      </c>
      <c r="IL38" s="35">
        <v>0.75102462000000003</v>
      </c>
      <c r="IM38" s="35">
        <v>0.76747701000000002</v>
      </c>
      <c r="IN38" s="35">
        <v>0.77326337999999994</v>
      </c>
      <c r="IO38" s="35">
        <v>0.77171073000000001</v>
      </c>
      <c r="IP38" s="35">
        <v>0.76515429999999995</v>
      </c>
      <c r="IQ38" s="35">
        <v>0.75187183000000002</v>
      </c>
      <c r="IR38" s="35">
        <v>0.78421611000000002</v>
      </c>
      <c r="IS38" s="35">
        <v>0.75847262999999998</v>
      </c>
      <c r="IT38" s="35">
        <v>0.76779160999999996</v>
      </c>
      <c r="IU38" s="35">
        <v>0.75906337000000002</v>
      </c>
      <c r="IV38" s="35">
        <v>0.76250794</v>
      </c>
      <c r="IW38" s="35">
        <v>0.79077635000000002</v>
      </c>
      <c r="IX38" s="35">
        <v>0.77178822000000002</v>
      </c>
      <c r="IY38" s="35">
        <v>0.73375047999999998</v>
      </c>
      <c r="IZ38" s="35">
        <v>0.80146572999999999</v>
      </c>
      <c r="JA38" s="35">
        <v>0.77374330000000002</v>
      </c>
      <c r="JB38" s="35">
        <v>0.76551659000000005</v>
      </c>
      <c r="JC38" s="35">
        <v>0.78271462000000003</v>
      </c>
      <c r="JD38" s="35">
        <v>0.74446966999999997</v>
      </c>
      <c r="JK38" s="21"/>
      <c r="JL38" s="21"/>
      <c r="JM38" s="20"/>
      <c r="JN38" s="35"/>
      <c r="JO38" s="35"/>
      <c r="JP38" s="35"/>
      <c r="JQ38" s="41"/>
      <c r="JR38" s="35"/>
      <c r="JS38" s="35"/>
      <c r="JT38" s="35"/>
      <c r="JU38" s="35"/>
      <c r="JV38" s="35"/>
      <c r="JW38" s="35"/>
    </row>
    <row r="39" spans="1:283" ht="13.8" x14ac:dyDescent="0.3">
      <c r="A39" s="19" t="s">
        <v>11</v>
      </c>
      <c r="B39" s="18" t="s">
        <v>47</v>
      </c>
      <c r="C39" s="14">
        <v>2550</v>
      </c>
      <c r="D39" s="36">
        <v>0.78810309000000001</v>
      </c>
      <c r="E39" s="37">
        <v>0.80206294</v>
      </c>
      <c r="F39" s="35">
        <v>0.77541720000000003</v>
      </c>
      <c r="G39" s="35">
        <v>0.76315741000000004</v>
      </c>
      <c r="H39" s="35">
        <v>0.78809101000000004</v>
      </c>
      <c r="I39" s="35">
        <v>0.77742414000000004</v>
      </c>
      <c r="J39" s="35">
        <v>0.81229183999999999</v>
      </c>
      <c r="K39" s="35">
        <v>0.76849453000000001</v>
      </c>
      <c r="L39" s="35">
        <v>0.77528976000000005</v>
      </c>
      <c r="M39" s="35">
        <v>0.80432939999999997</v>
      </c>
      <c r="N39" s="35">
        <v>0.78708593000000004</v>
      </c>
      <c r="O39" s="35">
        <v>0.77876690999999998</v>
      </c>
      <c r="P39" s="35">
        <v>0.78121339999999995</v>
      </c>
      <c r="Q39" s="35">
        <v>0.80219848999999999</v>
      </c>
      <c r="R39" s="35">
        <v>0.75886010000000004</v>
      </c>
      <c r="S39" s="35">
        <v>0.79076493000000003</v>
      </c>
      <c r="T39" s="35">
        <v>0.79362471000000001</v>
      </c>
      <c r="U39" s="35">
        <v>0.77459922999999997</v>
      </c>
      <c r="V39" s="35">
        <v>0.81220250999999999</v>
      </c>
      <c r="W39" s="35">
        <v>0.79372777999999999</v>
      </c>
      <c r="X39" s="35">
        <v>0.81661181000000005</v>
      </c>
      <c r="Y39" s="35">
        <v>0.81070441999999998</v>
      </c>
      <c r="Z39" s="35">
        <v>0.77933286999999996</v>
      </c>
      <c r="AA39" s="35">
        <v>0.81564068999999995</v>
      </c>
      <c r="AB39" s="35">
        <v>0.79729720000000004</v>
      </c>
      <c r="AC39" s="35">
        <v>0.78472536000000004</v>
      </c>
      <c r="AD39" s="35">
        <v>0.78807353999999996</v>
      </c>
      <c r="AE39" s="35">
        <v>0.79849446000000002</v>
      </c>
      <c r="AF39" s="35">
        <v>0.76436837000000002</v>
      </c>
      <c r="AG39" s="35">
        <v>0.79416655000000003</v>
      </c>
      <c r="AH39" s="35">
        <v>0.79575991000000001</v>
      </c>
      <c r="AI39" s="35">
        <v>0.77722575999999999</v>
      </c>
      <c r="AJ39" s="35">
        <v>0.78117643000000003</v>
      </c>
      <c r="AK39" s="35">
        <v>0.79160542</v>
      </c>
      <c r="AL39" s="35">
        <v>0.79216120000000001</v>
      </c>
      <c r="AM39" s="35">
        <v>0.79461627000000001</v>
      </c>
      <c r="AN39" s="35">
        <v>0.78314894000000002</v>
      </c>
      <c r="AO39" s="35">
        <v>0.79019724000000002</v>
      </c>
      <c r="AP39" s="35">
        <v>0.77776182999999999</v>
      </c>
      <c r="AQ39" s="35">
        <v>0.80120378999999997</v>
      </c>
      <c r="AR39" s="35">
        <v>0.78627281999999998</v>
      </c>
      <c r="AS39" s="35">
        <v>0.76738998000000003</v>
      </c>
      <c r="AT39" s="35">
        <v>0.78094624000000001</v>
      </c>
      <c r="AU39" s="35">
        <v>0.78070092999999996</v>
      </c>
      <c r="AV39" s="35">
        <v>0.76866677000000005</v>
      </c>
      <c r="AW39" s="35">
        <v>0.81101895999999996</v>
      </c>
      <c r="AX39" s="35">
        <v>0.80507983000000005</v>
      </c>
      <c r="AY39" s="35">
        <v>0.79194854000000003</v>
      </c>
      <c r="AZ39" s="35">
        <v>0.79583661999999999</v>
      </c>
      <c r="BA39" s="35">
        <v>0.78137763000000005</v>
      </c>
      <c r="BB39" s="35">
        <v>0.75987300999999996</v>
      </c>
      <c r="BC39" s="35">
        <v>0.76173318000000001</v>
      </c>
      <c r="BD39" s="35">
        <v>0.78358302000000002</v>
      </c>
      <c r="BE39" s="35">
        <v>0.79265719999999995</v>
      </c>
      <c r="BF39" s="35">
        <v>0.79869299000000005</v>
      </c>
      <c r="BG39" s="35">
        <v>0.76241645000000002</v>
      </c>
      <c r="BH39" s="35">
        <v>0.77597134999999995</v>
      </c>
      <c r="BI39" s="35">
        <v>0.82195295000000002</v>
      </c>
      <c r="BJ39" s="35">
        <v>0.82024664999999997</v>
      </c>
      <c r="BK39" s="35">
        <v>0.80640988000000002</v>
      </c>
      <c r="BL39" s="35">
        <v>0.79957045000000004</v>
      </c>
      <c r="BM39" s="35">
        <v>0.80646059000000003</v>
      </c>
      <c r="BN39" s="35">
        <v>0.77630566000000001</v>
      </c>
      <c r="BO39" s="35">
        <v>0.81464893000000005</v>
      </c>
      <c r="BP39" s="35">
        <v>0.78476378999999996</v>
      </c>
      <c r="BQ39" s="35">
        <v>0.77446990999999998</v>
      </c>
      <c r="BR39" s="35">
        <v>0.78873746</v>
      </c>
      <c r="BS39" s="35">
        <v>0.76316687000000005</v>
      </c>
      <c r="BT39" s="35">
        <v>0.75877512000000003</v>
      </c>
      <c r="BU39" s="35">
        <v>0.78817227000000001</v>
      </c>
      <c r="BV39" s="35">
        <v>0.79365841999999998</v>
      </c>
      <c r="BW39" s="35">
        <v>0.79770094000000002</v>
      </c>
      <c r="BX39" s="35">
        <v>0.80103468</v>
      </c>
      <c r="BY39" s="35">
        <v>0.77077326000000002</v>
      </c>
      <c r="BZ39" s="35">
        <v>0.82973350000000001</v>
      </c>
      <c r="CA39" s="35">
        <v>0.78476341000000005</v>
      </c>
      <c r="CB39" s="35">
        <v>0.81086789000000004</v>
      </c>
      <c r="CC39" s="35">
        <v>0.79145228000000001</v>
      </c>
      <c r="CD39" s="35">
        <v>0.79252270999999996</v>
      </c>
      <c r="CE39" s="35">
        <v>0.78966744</v>
      </c>
      <c r="CF39" s="35">
        <v>0.79882715000000004</v>
      </c>
      <c r="CG39" s="35">
        <v>0.80582209000000005</v>
      </c>
      <c r="CH39" s="35">
        <v>0.79078384999999995</v>
      </c>
      <c r="CI39" s="35">
        <v>0.79671305999999997</v>
      </c>
      <c r="CJ39" s="35">
        <v>0.78709445</v>
      </c>
      <c r="CK39" s="35">
        <v>0.74600261000000001</v>
      </c>
      <c r="CL39" s="35">
        <v>0.78655253000000003</v>
      </c>
      <c r="CM39" s="35">
        <v>0.79111869000000001</v>
      </c>
      <c r="CN39" s="35">
        <v>0.75153857000000002</v>
      </c>
      <c r="CO39" s="35">
        <v>0.78593062999999996</v>
      </c>
      <c r="CP39" s="35">
        <v>0.78199026000000005</v>
      </c>
      <c r="CQ39" s="35">
        <v>0.78785362000000003</v>
      </c>
      <c r="CR39" s="35">
        <v>0.78004958999999996</v>
      </c>
      <c r="CS39" s="35">
        <v>0.79983377</v>
      </c>
      <c r="CT39" s="35">
        <v>0.80188577000000005</v>
      </c>
      <c r="CU39" s="35">
        <v>0.79285722000000003</v>
      </c>
      <c r="CV39" s="35">
        <v>0.79120648999999998</v>
      </c>
      <c r="CW39" s="35">
        <v>0.76190424999999995</v>
      </c>
      <c r="CX39" s="35">
        <v>0.75436716000000004</v>
      </c>
      <c r="CY39" s="35">
        <v>0.75683549999999999</v>
      </c>
      <c r="CZ39" s="35">
        <v>0.77605212999999995</v>
      </c>
      <c r="DA39" s="35">
        <v>0.76597327999999998</v>
      </c>
      <c r="DB39" s="35">
        <v>0.76153398000000005</v>
      </c>
      <c r="DC39" s="35">
        <v>0.79067114000000005</v>
      </c>
      <c r="DD39" s="35">
        <v>0.78212731000000002</v>
      </c>
      <c r="DE39" s="35">
        <v>0.80070591000000002</v>
      </c>
      <c r="DF39" s="35">
        <v>0.76292114</v>
      </c>
      <c r="DG39" s="35">
        <v>0.76441809000000005</v>
      </c>
      <c r="DH39" s="35">
        <v>1.5380244000000001</v>
      </c>
      <c r="DI39" s="35">
        <v>1.3169480000000001E-2</v>
      </c>
      <c r="DJ39" s="35">
        <v>0.78831059999999997</v>
      </c>
      <c r="DK39" s="35">
        <v>0.81707711000000005</v>
      </c>
      <c r="DL39" s="35">
        <v>0.79341735000000002</v>
      </c>
      <c r="DM39" s="35">
        <v>0.81391694999999997</v>
      </c>
      <c r="DN39" s="35">
        <v>0.77669854999999999</v>
      </c>
      <c r="DO39" s="35">
        <v>0.79649305999999997</v>
      </c>
      <c r="DP39" s="35">
        <v>0.80749928000000004</v>
      </c>
      <c r="DQ39" s="35">
        <v>0.78911549000000003</v>
      </c>
      <c r="DR39" s="35">
        <v>0.79106377999999999</v>
      </c>
      <c r="DS39" s="35">
        <v>0.84431761000000005</v>
      </c>
      <c r="DT39" s="35">
        <v>0.78939678000000002</v>
      </c>
      <c r="DU39" s="35">
        <v>0.81720192000000003</v>
      </c>
      <c r="DV39" s="35">
        <v>0.78213893000000001</v>
      </c>
      <c r="DW39" s="35">
        <v>0.76108503999999999</v>
      </c>
      <c r="DX39" s="35">
        <v>0.75573718999999995</v>
      </c>
      <c r="DY39" s="35">
        <v>0.80399639000000001</v>
      </c>
      <c r="DZ39" s="35">
        <v>0.82858217000000001</v>
      </c>
      <c r="EA39" s="35">
        <v>0.75369746999999998</v>
      </c>
      <c r="EB39" s="35">
        <v>0.70029189000000003</v>
      </c>
      <c r="EC39" s="35">
        <v>0.76179640000000004</v>
      </c>
      <c r="ED39" s="35">
        <v>0.77756185</v>
      </c>
      <c r="EE39" s="35">
        <v>0.81605888999999998</v>
      </c>
      <c r="EF39" s="35">
        <v>0.78487125000000002</v>
      </c>
      <c r="EG39" s="35">
        <v>0.80037099</v>
      </c>
      <c r="EH39" s="35">
        <v>0.78389180000000003</v>
      </c>
      <c r="EI39" s="35">
        <v>0.80050279999999996</v>
      </c>
      <c r="EJ39" s="35">
        <v>0.77390241999999998</v>
      </c>
      <c r="EK39" s="35">
        <v>0.84489170000000002</v>
      </c>
      <c r="EL39" s="35">
        <v>0.81192222999999997</v>
      </c>
      <c r="EM39" s="35">
        <v>0.80460589000000005</v>
      </c>
      <c r="EN39" s="35">
        <v>0.79357692000000002</v>
      </c>
      <c r="EO39" s="35">
        <v>0.85147782000000005</v>
      </c>
      <c r="EP39" s="35">
        <v>0.81022822000000005</v>
      </c>
      <c r="EQ39" s="35">
        <v>0.80474979999999996</v>
      </c>
      <c r="ER39" s="35">
        <v>0.80757184999999998</v>
      </c>
      <c r="ES39" s="35">
        <v>0.7758775</v>
      </c>
      <c r="ET39" s="35">
        <v>0.78847365999999997</v>
      </c>
      <c r="EU39" s="35">
        <v>0.79492019999999997</v>
      </c>
      <c r="EV39" s="35">
        <v>0.74745428999999997</v>
      </c>
      <c r="EW39" s="35">
        <v>0.75328055000000005</v>
      </c>
      <c r="EX39" s="35">
        <v>0.79829397999999996</v>
      </c>
      <c r="EY39" s="35">
        <v>0.79959539999999996</v>
      </c>
      <c r="EZ39" s="35">
        <v>0.77769580999999999</v>
      </c>
      <c r="FA39" s="35">
        <v>0.80334212000000005</v>
      </c>
      <c r="FB39" s="35">
        <v>0.75776244999999998</v>
      </c>
      <c r="FC39" s="35">
        <v>0.79520988999999997</v>
      </c>
      <c r="FD39" s="35">
        <v>0.77442703000000002</v>
      </c>
      <c r="FE39" s="35">
        <v>0.79330257999999998</v>
      </c>
      <c r="FF39" s="35">
        <v>0.76065817999999996</v>
      </c>
      <c r="FG39" s="35">
        <v>0.79419461999999996</v>
      </c>
      <c r="FH39" s="35">
        <v>0.80412790999999995</v>
      </c>
      <c r="FI39" s="35">
        <v>0.79511383999999996</v>
      </c>
      <c r="FJ39" s="35">
        <v>0.82354322999999996</v>
      </c>
      <c r="FK39" s="35">
        <v>0.78340193999999996</v>
      </c>
      <c r="FL39" s="35">
        <v>0.84008351999999997</v>
      </c>
      <c r="FM39" s="35">
        <v>0.81840747000000003</v>
      </c>
      <c r="FN39" s="35">
        <v>0.79839126999999999</v>
      </c>
      <c r="FO39" s="35">
        <v>0.80348211000000003</v>
      </c>
      <c r="FP39" s="35">
        <v>0.80355204999999996</v>
      </c>
      <c r="FQ39" s="35">
        <v>0.78403886</v>
      </c>
      <c r="FR39" s="35">
        <v>0.79507857999999998</v>
      </c>
      <c r="FS39" s="35">
        <v>0.82935444999999997</v>
      </c>
      <c r="FT39" s="35">
        <v>0.76730575000000001</v>
      </c>
      <c r="FU39" s="35">
        <v>0.78761559999999997</v>
      </c>
      <c r="FV39" s="35">
        <v>0.76759323000000002</v>
      </c>
      <c r="FW39" s="35">
        <v>0.77915144999999997</v>
      </c>
      <c r="FX39" s="35">
        <v>0.78794081999999999</v>
      </c>
      <c r="FY39" s="35">
        <v>0.77928419999999998</v>
      </c>
      <c r="FZ39" s="35">
        <v>0.79185039999999995</v>
      </c>
      <c r="GA39" s="35">
        <v>0.81856739000000001</v>
      </c>
      <c r="GB39" s="35">
        <v>0.80508658</v>
      </c>
      <c r="GC39" s="35">
        <v>0.76707236000000001</v>
      </c>
      <c r="GD39" s="35">
        <v>0.77239455999999995</v>
      </c>
      <c r="GE39" s="35">
        <v>0.79687070999999998</v>
      </c>
      <c r="GF39" s="35">
        <v>0.81414810000000004</v>
      </c>
      <c r="GG39" s="35">
        <v>0.78972830999999999</v>
      </c>
      <c r="GH39" s="35">
        <v>0.78702030999999995</v>
      </c>
      <c r="GI39" s="35">
        <v>0.78933237999999994</v>
      </c>
      <c r="GJ39" s="35">
        <v>0.78319369999999999</v>
      </c>
      <c r="GK39" s="35">
        <v>0.73965890999999995</v>
      </c>
      <c r="GL39" s="35">
        <v>0.81201973999999999</v>
      </c>
      <c r="GM39" s="35">
        <v>0.82115828000000002</v>
      </c>
      <c r="GN39" s="35">
        <v>0.89738063999999995</v>
      </c>
      <c r="GO39" s="35">
        <v>0.72105224999999995</v>
      </c>
      <c r="GP39" s="35">
        <v>0.79100851000000005</v>
      </c>
      <c r="GQ39" s="35">
        <v>0.78718493</v>
      </c>
      <c r="GR39" s="35">
        <v>0.77462282999999998</v>
      </c>
      <c r="GS39" s="35">
        <v>0.82519697000000003</v>
      </c>
      <c r="GT39" s="35">
        <v>0.66672209999999998</v>
      </c>
      <c r="GU39" s="35">
        <v>0.81555909999999998</v>
      </c>
      <c r="GV39" s="35">
        <v>0.76344261000000002</v>
      </c>
      <c r="GW39" s="35">
        <v>0.76557858999999995</v>
      </c>
      <c r="GX39" s="35">
        <v>0.76489222999999995</v>
      </c>
      <c r="GY39" s="35">
        <v>0.78872544</v>
      </c>
      <c r="GZ39" s="35">
        <v>0.79316059999999999</v>
      </c>
      <c r="HA39" s="35">
        <v>0.76146062000000003</v>
      </c>
      <c r="HB39" s="35">
        <v>0.76281262000000005</v>
      </c>
      <c r="HC39" s="35">
        <v>0.78934291000000001</v>
      </c>
      <c r="HD39" s="35">
        <v>0.79008480999999997</v>
      </c>
      <c r="HE39" s="35">
        <v>0.78577512999999999</v>
      </c>
      <c r="HF39" s="35">
        <v>0.79334638000000002</v>
      </c>
      <c r="HG39" s="35">
        <v>0.75876304999999999</v>
      </c>
      <c r="HH39" s="35">
        <v>0.79243021000000002</v>
      </c>
      <c r="HI39" s="35">
        <v>0.78078150000000002</v>
      </c>
      <c r="HJ39" s="35">
        <v>0.79348068000000005</v>
      </c>
      <c r="HK39" s="35">
        <v>0.81214215000000001</v>
      </c>
      <c r="HL39" s="35">
        <v>0.7890604</v>
      </c>
      <c r="HM39" s="35">
        <v>0.76244588999999996</v>
      </c>
      <c r="HN39" s="35">
        <v>0.79684993999999998</v>
      </c>
      <c r="HO39" s="35">
        <v>0.79201832000000005</v>
      </c>
      <c r="HP39" s="35">
        <v>0.78226724999999997</v>
      </c>
      <c r="HQ39" s="35">
        <v>0.74281017000000005</v>
      </c>
      <c r="HR39" s="35">
        <v>0.81287635999999996</v>
      </c>
      <c r="HS39" s="35">
        <v>0.75832674</v>
      </c>
      <c r="HT39" s="35">
        <v>0.77619795999999996</v>
      </c>
      <c r="HU39" s="35">
        <v>0.8292138</v>
      </c>
      <c r="HV39" s="35">
        <v>0.75619438999999999</v>
      </c>
      <c r="HW39" s="35">
        <v>0.81787376000000001</v>
      </c>
      <c r="HX39" s="35">
        <v>0.82461888999999999</v>
      </c>
      <c r="HY39" s="35">
        <v>0.79511407999999995</v>
      </c>
      <c r="HZ39" s="35">
        <v>0.79252644000000005</v>
      </c>
      <c r="IA39" s="35">
        <v>0.79480814</v>
      </c>
      <c r="IB39" s="35">
        <v>0.76150176999999997</v>
      </c>
      <c r="IC39" s="35">
        <v>0.79959407999999998</v>
      </c>
      <c r="ID39" s="35">
        <v>0.77822068</v>
      </c>
      <c r="IE39" s="35">
        <v>0.78404843999999996</v>
      </c>
      <c r="IF39" s="35">
        <v>0.79257261999999995</v>
      </c>
      <c r="IG39" s="35">
        <v>0.81025776999999999</v>
      </c>
      <c r="IH39" s="35">
        <v>0.79085298000000004</v>
      </c>
      <c r="II39" s="35">
        <v>0.80997585000000005</v>
      </c>
      <c r="IJ39" s="35">
        <v>0.78516005</v>
      </c>
      <c r="IK39" s="35">
        <v>0.79398601999999996</v>
      </c>
      <c r="IL39" s="35">
        <v>0.75357257</v>
      </c>
      <c r="IM39" s="35">
        <v>0.77900921000000001</v>
      </c>
      <c r="IN39" s="35">
        <v>0.78566347000000003</v>
      </c>
      <c r="IO39" s="35">
        <v>0.78799472000000004</v>
      </c>
      <c r="IP39" s="35">
        <v>0.77711894999999998</v>
      </c>
      <c r="IQ39" s="35">
        <v>0.74932805000000002</v>
      </c>
      <c r="IR39" s="35">
        <v>0.80532623000000003</v>
      </c>
      <c r="IS39" s="35">
        <v>0.76609879999999997</v>
      </c>
      <c r="IT39" s="35">
        <v>0.78082054999999995</v>
      </c>
      <c r="IU39" s="35">
        <v>0.76726492999999996</v>
      </c>
      <c r="IV39" s="35">
        <v>0.76787004000000003</v>
      </c>
      <c r="IW39" s="35">
        <v>0.82271945000000002</v>
      </c>
      <c r="IX39" s="35">
        <v>0.77532056999999999</v>
      </c>
      <c r="IY39" s="35">
        <v>0.73036774999999998</v>
      </c>
      <c r="IZ39" s="35">
        <v>0.83613311000000001</v>
      </c>
      <c r="JA39" s="35">
        <v>0.78956614999999997</v>
      </c>
      <c r="JB39" s="35">
        <v>0.76990095000000003</v>
      </c>
      <c r="JC39" s="35">
        <v>0.80485969999999996</v>
      </c>
      <c r="JD39" s="35">
        <v>0.74656261999999995</v>
      </c>
      <c r="JK39" s="21"/>
      <c r="JL39" s="21"/>
      <c r="JM39" s="20"/>
      <c r="JN39" s="35"/>
      <c r="JO39" s="35"/>
      <c r="JP39" s="35"/>
      <c r="JQ39" s="41"/>
      <c r="JR39" s="35"/>
      <c r="JS39" s="35"/>
      <c r="JT39" s="35"/>
      <c r="JU39" s="35"/>
      <c r="JV39" s="35"/>
      <c r="JW39" s="35"/>
    </row>
    <row r="40" spans="1:283" ht="13.8" x14ac:dyDescent="0.3">
      <c r="A40" s="19" t="s">
        <v>11</v>
      </c>
      <c r="B40" s="18" t="s">
        <v>47</v>
      </c>
      <c r="C40" s="14">
        <v>3650</v>
      </c>
      <c r="D40" s="36">
        <v>0.83091305999999998</v>
      </c>
      <c r="E40" s="37">
        <v>0.82997485000000004</v>
      </c>
      <c r="F40" s="35">
        <v>0.84397798999999996</v>
      </c>
      <c r="G40" s="35">
        <v>0.78717711000000001</v>
      </c>
      <c r="H40" s="35">
        <v>0.84217927000000004</v>
      </c>
      <c r="I40" s="35">
        <v>0.83051622000000003</v>
      </c>
      <c r="J40" s="35">
        <v>0.83440499000000001</v>
      </c>
      <c r="K40" s="35">
        <v>0.79400895000000005</v>
      </c>
      <c r="L40" s="35">
        <v>0.8229976</v>
      </c>
      <c r="M40" s="35">
        <v>0.83353982999999998</v>
      </c>
      <c r="N40" s="35">
        <v>0.83159052</v>
      </c>
      <c r="O40" s="35">
        <v>0.80202865999999995</v>
      </c>
      <c r="P40" s="35">
        <v>0.86506320999999997</v>
      </c>
      <c r="Q40" s="35">
        <v>0.82543053</v>
      </c>
      <c r="R40" s="35">
        <v>0.81877911999999997</v>
      </c>
      <c r="S40" s="35">
        <v>0.81966090999999996</v>
      </c>
      <c r="T40" s="35">
        <v>0.84658818000000002</v>
      </c>
      <c r="U40" s="35">
        <v>0.78546411999999999</v>
      </c>
      <c r="V40" s="35">
        <v>0.87117252000000001</v>
      </c>
      <c r="W40" s="35">
        <v>0.84938645000000002</v>
      </c>
      <c r="X40" s="35">
        <v>0.84898987000000004</v>
      </c>
      <c r="Y40" s="35">
        <v>0.84578544</v>
      </c>
      <c r="Z40" s="35">
        <v>0.83420826999999997</v>
      </c>
      <c r="AA40" s="35">
        <v>0.84529003999999996</v>
      </c>
      <c r="AB40" s="35">
        <v>0.83570074999999999</v>
      </c>
      <c r="AC40" s="35">
        <v>0.82086548999999998</v>
      </c>
      <c r="AD40" s="35">
        <v>0.83089915999999997</v>
      </c>
      <c r="AE40" s="35">
        <v>0.84319666999999998</v>
      </c>
      <c r="AF40" s="35">
        <v>0.81945952</v>
      </c>
      <c r="AG40" s="35">
        <v>0.81283556000000001</v>
      </c>
      <c r="AH40" s="35">
        <v>0.85899603999999996</v>
      </c>
      <c r="AI40" s="35">
        <v>0.79815839</v>
      </c>
      <c r="AJ40" s="35">
        <v>0.83526398000000002</v>
      </c>
      <c r="AK40" s="35">
        <v>0.83643345999999996</v>
      </c>
      <c r="AL40" s="35">
        <v>0.82974777</v>
      </c>
      <c r="AM40" s="35">
        <v>0.84038564000000004</v>
      </c>
      <c r="AN40" s="35">
        <v>0.82462161</v>
      </c>
      <c r="AO40" s="35">
        <v>0.82700978999999997</v>
      </c>
      <c r="AP40" s="35">
        <v>0.82470350000000003</v>
      </c>
      <c r="AQ40" s="35">
        <v>0.83741052999999999</v>
      </c>
      <c r="AR40" s="35">
        <v>0.83196751999999996</v>
      </c>
      <c r="AS40" s="35">
        <v>0.80847815000000001</v>
      </c>
      <c r="AT40" s="35">
        <v>0.82553206000000001</v>
      </c>
      <c r="AU40" s="35">
        <v>0.82618360000000002</v>
      </c>
      <c r="AV40" s="35">
        <v>0.76820840999999995</v>
      </c>
      <c r="AW40" s="35">
        <v>0.86286483000000003</v>
      </c>
      <c r="AX40" s="35">
        <v>0.84510346000000003</v>
      </c>
      <c r="AY40" s="35">
        <v>0.83088021000000001</v>
      </c>
      <c r="AZ40" s="35">
        <v>0.82272478000000004</v>
      </c>
      <c r="BA40" s="35">
        <v>0.83033906000000002</v>
      </c>
      <c r="BB40" s="35">
        <v>0.79231821000000002</v>
      </c>
      <c r="BC40" s="35">
        <v>0.79607452999999995</v>
      </c>
      <c r="BD40" s="35">
        <v>0.81633391</v>
      </c>
      <c r="BE40" s="35">
        <v>0.84051032000000003</v>
      </c>
      <c r="BF40" s="35">
        <v>0.86767859999999997</v>
      </c>
      <c r="BG40" s="35">
        <v>0.79522634000000003</v>
      </c>
      <c r="BH40" s="35">
        <v>0.82001533999999998</v>
      </c>
      <c r="BI40" s="35">
        <v>0.88955790999999995</v>
      </c>
      <c r="BJ40" s="35">
        <v>0.87852315999999997</v>
      </c>
      <c r="BK40" s="35">
        <v>0.87803960999999997</v>
      </c>
      <c r="BL40" s="35">
        <v>0.82516469999999997</v>
      </c>
      <c r="BM40" s="35">
        <v>0.85628070999999994</v>
      </c>
      <c r="BN40" s="35">
        <v>0.81633180000000005</v>
      </c>
      <c r="BO40" s="35">
        <v>0.86377168000000004</v>
      </c>
      <c r="BP40" s="35">
        <v>0.81695837999999998</v>
      </c>
      <c r="BQ40" s="35">
        <v>0.81641843999999997</v>
      </c>
      <c r="BR40" s="35">
        <v>0.84994407000000005</v>
      </c>
      <c r="BS40" s="35">
        <v>0.79545200999999999</v>
      </c>
      <c r="BT40" s="35">
        <v>0.80974862999999997</v>
      </c>
      <c r="BU40" s="35">
        <v>0.82748670999999996</v>
      </c>
      <c r="BV40" s="35">
        <v>0.83983191000000001</v>
      </c>
      <c r="BW40" s="35">
        <v>0.82201484000000002</v>
      </c>
      <c r="BX40" s="35">
        <v>0.84605501000000005</v>
      </c>
      <c r="BY40" s="35">
        <v>0.81702715000000004</v>
      </c>
      <c r="BZ40" s="35">
        <v>0.89148868000000003</v>
      </c>
      <c r="CA40" s="35">
        <v>0.82208115999999998</v>
      </c>
      <c r="CB40" s="35">
        <v>0.85256569000000004</v>
      </c>
      <c r="CC40" s="35">
        <v>0.84097332999999996</v>
      </c>
      <c r="CD40" s="35">
        <v>0.84117063000000003</v>
      </c>
      <c r="CE40" s="35">
        <v>0.82808380999999998</v>
      </c>
      <c r="CF40" s="35">
        <v>0.85696876</v>
      </c>
      <c r="CG40" s="35">
        <v>0.84874192000000004</v>
      </c>
      <c r="CH40" s="35">
        <v>0.85885712000000003</v>
      </c>
      <c r="CI40" s="35">
        <v>0.82663991999999997</v>
      </c>
      <c r="CJ40" s="35">
        <v>0.81946618999999998</v>
      </c>
      <c r="CK40" s="35">
        <v>0.80005013000000003</v>
      </c>
      <c r="CL40" s="35">
        <v>0.82787460999999996</v>
      </c>
      <c r="CM40" s="35">
        <v>0.82797790000000004</v>
      </c>
      <c r="CN40" s="35">
        <v>0.75719901999999994</v>
      </c>
      <c r="CO40" s="35">
        <v>0.82356514999999997</v>
      </c>
      <c r="CP40" s="35">
        <v>0.82409447000000002</v>
      </c>
      <c r="CQ40" s="35">
        <v>0.84362289999999995</v>
      </c>
      <c r="CR40" s="35">
        <v>0.83529710000000001</v>
      </c>
      <c r="CS40" s="35">
        <v>0.85037890000000005</v>
      </c>
      <c r="CT40" s="35">
        <v>0.83308645000000003</v>
      </c>
      <c r="CU40" s="35">
        <v>0.84496987000000001</v>
      </c>
      <c r="CV40" s="35">
        <v>0.81992999</v>
      </c>
      <c r="CW40" s="35">
        <v>0.80137332999999999</v>
      </c>
      <c r="CX40" s="35">
        <v>0.79851925999999995</v>
      </c>
      <c r="CY40" s="35">
        <v>0.79741090999999997</v>
      </c>
      <c r="CZ40" s="35">
        <v>0.81541839000000005</v>
      </c>
      <c r="DA40" s="35">
        <v>0.81281433999999997</v>
      </c>
      <c r="DB40" s="35">
        <v>0.80493725000000005</v>
      </c>
      <c r="DC40" s="35">
        <v>0.82916533000000003</v>
      </c>
      <c r="DD40" s="35">
        <v>0.81337413999999997</v>
      </c>
      <c r="DE40" s="35">
        <v>0.86109210999999997</v>
      </c>
      <c r="DF40" s="35">
        <v>0.80255752999999996</v>
      </c>
      <c r="DG40" s="35">
        <v>0.80216710999999996</v>
      </c>
      <c r="DH40" s="35">
        <v>1.70557022</v>
      </c>
      <c r="DI40" s="35">
        <v>-6.7160919999999999E-2</v>
      </c>
      <c r="DJ40" s="35">
        <v>0.82879745999999999</v>
      </c>
      <c r="DK40" s="35">
        <v>0.85902584000000004</v>
      </c>
      <c r="DL40" s="35">
        <v>0.84260031000000002</v>
      </c>
      <c r="DM40" s="35">
        <v>0.86034686000000005</v>
      </c>
      <c r="DN40" s="35">
        <v>0.82175524</v>
      </c>
      <c r="DO40" s="35">
        <v>0.84555871999999999</v>
      </c>
      <c r="DP40" s="35">
        <v>0.83510406999999998</v>
      </c>
      <c r="DQ40" s="35">
        <v>0.83741821999999999</v>
      </c>
      <c r="DR40" s="35">
        <v>0.83720287000000004</v>
      </c>
      <c r="DS40" s="35">
        <v>0.86490135999999995</v>
      </c>
      <c r="DT40" s="35">
        <v>0.84781693000000002</v>
      </c>
      <c r="DU40" s="35">
        <v>0.85224595999999997</v>
      </c>
      <c r="DV40" s="35">
        <v>0.81811981</v>
      </c>
      <c r="DW40" s="35">
        <v>0.78788718999999996</v>
      </c>
      <c r="DX40" s="35">
        <v>0.78469464</v>
      </c>
      <c r="DY40" s="35">
        <v>0.83524617000000001</v>
      </c>
      <c r="DZ40" s="35">
        <v>0.87203693000000004</v>
      </c>
      <c r="EA40" s="35">
        <v>0.81255659999999996</v>
      </c>
      <c r="EB40" s="35">
        <v>0.75837107000000004</v>
      </c>
      <c r="EC40" s="35">
        <v>0.80106611999999999</v>
      </c>
      <c r="ED40" s="35">
        <v>0.83547689999999997</v>
      </c>
      <c r="EE40" s="35">
        <v>0.85933612999999998</v>
      </c>
      <c r="EF40" s="35">
        <v>0.83350155999999997</v>
      </c>
      <c r="EG40" s="35">
        <v>0.83413082000000005</v>
      </c>
      <c r="EH40" s="35">
        <v>0.83906992000000002</v>
      </c>
      <c r="EI40" s="35">
        <v>0.82213990000000003</v>
      </c>
      <c r="EJ40" s="35">
        <v>0.83982489000000005</v>
      </c>
      <c r="EK40" s="35">
        <v>0.86166438000000001</v>
      </c>
      <c r="EL40" s="35">
        <v>0.85863181</v>
      </c>
      <c r="EM40" s="35">
        <v>0.83543866</v>
      </c>
      <c r="EN40" s="35">
        <v>0.82119001999999996</v>
      </c>
      <c r="EO40" s="35">
        <v>0.93220197999999999</v>
      </c>
      <c r="EP40" s="35">
        <v>0.83590363999999995</v>
      </c>
      <c r="EQ40" s="35">
        <v>0.84165579999999995</v>
      </c>
      <c r="ER40" s="35">
        <v>0.84575723999999997</v>
      </c>
      <c r="ES40" s="35">
        <v>0.82285450000000004</v>
      </c>
      <c r="ET40" s="35">
        <v>0.82930658000000002</v>
      </c>
      <c r="EU40" s="35">
        <v>0.80667889000000004</v>
      </c>
      <c r="EV40" s="35">
        <v>0.76762794999999995</v>
      </c>
      <c r="EW40" s="35">
        <v>0.80085846000000005</v>
      </c>
      <c r="EX40" s="35">
        <v>0.84649726000000003</v>
      </c>
      <c r="EY40" s="35">
        <v>0.83901404999999996</v>
      </c>
      <c r="EZ40" s="35">
        <v>0.8231366</v>
      </c>
      <c r="FA40" s="35">
        <v>0.82947134</v>
      </c>
      <c r="FB40" s="35">
        <v>0.82651045000000001</v>
      </c>
      <c r="FC40" s="35">
        <v>0.80310923000000001</v>
      </c>
      <c r="FD40" s="35">
        <v>0.80661720999999997</v>
      </c>
      <c r="FE40" s="35">
        <v>0.84838643999999996</v>
      </c>
      <c r="FF40" s="35">
        <v>0.78303522999999997</v>
      </c>
      <c r="FG40" s="35">
        <v>0.85011417</v>
      </c>
      <c r="FH40" s="35">
        <v>0.85188673000000004</v>
      </c>
      <c r="FI40" s="35">
        <v>0.83528060000000004</v>
      </c>
      <c r="FJ40" s="35">
        <v>0.91826028000000004</v>
      </c>
      <c r="FK40" s="35">
        <v>0.85071089</v>
      </c>
      <c r="FL40" s="35">
        <v>0.86057176000000002</v>
      </c>
      <c r="FM40" s="35">
        <v>0.85147125000000001</v>
      </c>
      <c r="FN40" s="35">
        <v>0.84711376999999999</v>
      </c>
      <c r="FO40" s="35">
        <v>0.83788437000000004</v>
      </c>
      <c r="FP40" s="35">
        <v>0.86866288000000003</v>
      </c>
      <c r="FQ40" s="35">
        <v>0.86186463999999996</v>
      </c>
      <c r="FR40" s="35">
        <v>0.83973787</v>
      </c>
      <c r="FS40" s="35">
        <v>0.84461673999999998</v>
      </c>
      <c r="FT40" s="35">
        <v>0.81026262000000004</v>
      </c>
      <c r="FU40" s="35">
        <v>0.82542386000000001</v>
      </c>
      <c r="FV40" s="35">
        <v>0.79034117999999998</v>
      </c>
      <c r="FW40" s="35">
        <v>0.82391722000000001</v>
      </c>
      <c r="FX40" s="35">
        <v>0.86574030000000002</v>
      </c>
      <c r="FY40" s="35">
        <v>0.81457897000000001</v>
      </c>
      <c r="FZ40" s="35">
        <v>0.83870833</v>
      </c>
      <c r="GA40" s="35">
        <v>0.85055941000000002</v>
      </c>
      <c r="GB40" s="35">
        <v>0.85122712</v>
      </c>
      <c r="GC40" s="35">
        <v>0.7982281</v>
      </c>
      <c r="GD40" s="35">
        <v>0.84192714999999996</v>
      </c>
      <c r="GE40" s="35">
        <v>0.83600651000000004</v>
      </c>
      <c r="GF40" s="35">
        <v>0.84714851000000002</v>
      </c>
      <c r="GG40" s="35">
        <v>0.81169683000000004</v>
      </c>
      <c r="GH40" s="35">
        <v>0.81168737999999996</v>
      </c>
      <c r="GI40" s="35">
        <v>0.83137134999999995</v>
      </c>
      <c r="GJ40" s="35">
        <v>0.82447859000000001</v>
      </c>
      <c r="GK40" s="35">
        <v>0.81702942000000001</v>
      </c>
      <c r="GL40" s="35">
        <v>0.84667062999999998</v>
      </c>
      <c r="GM40" s="35">
        <v>0.85227439000000005</v>
      </c>
      <c r="GN40" s="35">
        <v>0.96510585000000004</v>
      </c>
      <c r="GO40" s="35">
        <v>0.74669277000000001</v>
      </c>
      <c r="GP40" s="35">
        <v>0.82783505000000002</v>
      </c>
      <c r="GQ40" s="35">
        <v>0.81730522999999999</v>
      </c>
      <c r="GR40" s="35">
        <v>0.83177659999999998</v>
      </c>
      <c r="GS40" s="35">
        <v>0.84962537000000005</v>
      </c>
      <c r="GT40" s="35">
        <v>0.63369710999999995</v>
      </c>
      <c r="GU40" s="35">
        <v>0.86881394000000001</v>
      </c>
      <c r="GV40" s="35">
        <v>0.78573214999999996</v>
      </c>
      <c r="GW40" s="35">
        <v>0.83503203999999998</v>
      </c>
      <c r="GX40" s="35">
        <v>0.80270593999999995</v>
      </c>
      <c r="GY40" s="35">
        <v>0.83525665999999998</v>
      </c>
      <c r="GZ40" s="35">
        <v>0.79990581999999999</v>
      </c>
      <c r="HA40" s="35">
        <v>0.78874801000000005</v>
      </c>
      <c r="HB40" s="35">
        <v>0.77444829000000004</v>
      </c>
      <c r="HC40" s="35">
        <v>0.83311491000000004</v>
      </c>
      <c r="HD40" s="35">
        <v>0.80877668999999996</v>
      </c>
      <c r="HE40" s="35">
        <v>0.83077367999999996</v>
      </c>
      <c r="HF40" s="35">
        <v>0.82988686</v>
      </c>
      <c r="HG40" s="35">
        <v>0.79123292999999995</v>
      </c>
      <c r="HH40" s="35">
        <v>0.85098344000000004</v>
      </c>
      <c r="HI40" s="35">
        <v>0.82284371000000001</v>
      </c>
      <c r="HJ40" s="35">
        <v>0.86388522999999995</v>
      </c>
      <c r="HK40" s="35">
        <v>0.82113913000000005</v>
      </c>
      <c r="HL40" s="35">
        <v>0.84253522999999997</v>
      </c>
      <c r="HM40" s="35">
        <v>0.78698400000000002</v>
      </c>
      <c r="HN40" s="35">
        <v>0.83046644999999997</v>
      </c>
      <c r="HO40" s="35">
        <v>0.84556264999999997</v>
      </c>
      <c r="HP40" s="35">
        <v>0.78698124999999997</v>
      </c>
      <c r="HQ40" s="35">
        <v>0.74840322000000004</v>
      </c>
      <c r="HR40" s="35">
        <v>0.88211541000000004</v>
      </c>
      <c r="HS40" s="35">
        <v>0.76972894000000003</v>
      </c>
      <c r="HT40" s="35">
        <v>0.80679478999999998</v>
      </c>
      <c r="HU40" s="35">
        <v>0.90826624</v>
      </c>
      <c r="HV40" s="35">
        <v>0.81634600999999996</v>
      </c>
      <c r="HW40" s="35">
        <v>0.90232931000000005</v>
      </c>
      <c r="HX40" s="35">
        <v>0.88095462000000002</v>
      </c>
      <c r="HY40" s="35">
        <v>0.82005519999999998</v>
      </c>
      <c r="HZ40" s="35">
        <v>0.83542426999999997</v>
      </c>
      <c r="IA40" s="35">
        <v>0.82750699999999999</v>
      </c>
      <c r="IB40" s="35">
        <v>0.78301542000000002</v>
      </c>
      <c r="IC40" s="35">
        <v>0.86000138000000004</v>
      </c>
      <c r="ID40" s="35">
        <v>0.80778254999999999</v>
      </c>
      <c r="IE40" s="35">
        <v>0.84309056000000004</v>
      </c>
      <c r="IF40" s="35">
        <v>0.78524837999999997</v>
      </c>
      <c r="IG40" s="35">
        <v>0.87048091000000005</v>
      </c>
      <c r="IH40" s="35">
        <v>0.83916223999999995</v>
      </c>
      <c r="II40" s="35">
        <v>0.87970722000000001</v>
      </c>
      <c r="IJ40" s="35">
        <v>0.84258931000000004</v>
      </c>
      <c r="IK40" s="35">
        <v>0.81057467000000005</v>
      </c>
      <c r="IL40" s="35">
        <v>0.77448773999999998</v>
      </c>
      <c r="IM40" s="35">
        <v>0.82078614000000005</v>
      </c>
      <c r="IN40" s="35">
        <v>0.88382855000000005</v>
      </c>
      <c r="IO40" s="35">
        <v>0.77837581</v>
      </c>
      <c r="IP40" s="35">
        <v>0.80919430000000003</v>
      </c>
      <c r="IQ40" s="35">
        <v>0.76881275000000004</v>
      </c>
      <c r="IR40" s="35">
        <v>0.86192705000000003</v>
      </c>
      <c r="IS40" s="35">
        <v>0.78830482000000002</v>
      </c>
      <c r="IT40" s="35">
        <v>0.82464930000000003</v>
      </c>
      <c r="IU40" s="35">
        <v>0.79375726000000002</v>
      </c>
      <c r="IV40" s="35">
        <v>0.80195715999999995</v>
      </c>
      <c r="IW40" s="35">
        <v>0.88322845000000005</v>
      </c>
      <c r="IX40" s="35">
        <v>0.79963090000000003</v>
      </c>
      <c r="IY40" s="35">
        <v>0.75031307000000003</v>
      </c>
      <c r="IZ40" s="35">
        <v>0.92655023999999997</v>
      </c>
      <c r="JA40" s="35">
        <v>0.81040157000000002</v>
      </c>
      <c r="JB40" s="35">
        <v>0.79814158000000002</v>
      </c>
      <c r="JC40" s="35">
        <v>0.85556080999999995</v>
      </c>
      <c r="JD40" s="35">
        <v>0.76838320999999998</v>
      </c>
      <c r="JK40" s="21"/>
      <c r="JL40" s="21"/>
      <c r="JM40" s="20"/>
      <c r="JN40" s="35"/>
      <c r="JO40" s="35"/>
      <c r="JP40" s="35"/>
      <c r="JQ40" s="41"/>
      <c r="JR40" s="35"/>
      <c r="JS40" s="35"/>
      <c r="JT40" s="35"/>
      <c r="JU40" s="35"/>
      <c r="JV40" s="35"/>
      <c r="JW40" s="35"/>
    </row>
    <row r="41" spans="1:283" ht="13.8" x14ac:dyDescent="0.3">
      <c r="A41" s="19"/>
      <c r="B41" s="18"/>
      <c r="C41" s="16"/>
      <c r="D41" s="36"/>
      <c r="E41" s="37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/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/>
      <c r="HR41" s="35"/>
      <c r="HS41" s="35"/>
      <c r="HT41" s="35"/>
      <c r="HU41" s="35"/>
      <c r="HV41" s="35"/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  <c r="IO41" s="35"/>
      <c r="IP41" s="35"/>
      <c r="IQ41" s="35"/>
      <c r="IR41" s="35"/>
      <c r="IS41" s="35"/>
      <c r="IT41" s="35"/>
      <c r="IU41" s="35"/>
      <c r="IV41" s="35"/>
      <c r="IW41" s="35"/>
      <c r="IX41" s="35"/>
      <c r="IY41" s="35"/>
      <c r="IZ41" s="35"/>
      <c r="JA41" s="35"/>
      <c r="JB41" s="35"/>
      <c r="JC41" s="35"/>
      <c r="JD41" s="35"/>
      <c r="JK41" s="21"/>
      <c r="JL41" s="21"/>
      <c r="JM41" s="20"/>
      <c r="JN41" s="35"/>
      <c r="JO41" s="35"/>
      <c r="JP41" s="35"/>
      <c r="JQ41" s="41"/>
      <c r="JR41" s="35"/>
      <c r="JS41" s="35"/>
      <c r="JT41" s="35"/>
      <c r="JU41" s="35"/>
      <c r="JV41" s="35"/>
      <c r="JW41" s="35"/>
    </row>
    <row r="42" spans="1:283" ht="13.8" x14ac:dyDescent="0.3">
      <c r="JK42" s="21"/>
      <c r="JL42" s="21"/>
      <c r="JM42" s="20"/>
      <c r="JN42" s="35"/>
      <c r="JO42" s="35"/>
      <c r="JP42" s="35"/>
      <c r="JQ42" s="41"/>
      <c r="JR42" s="35"/>
      <c r="JS42" s="35"/>
      <c r="JT42" s="35"/>
      <c r="JU42" s="35"/>
      <c r="JV42" s="35"/>
      <c r="JW42" s="35"/>
    </row>
    <row r="43" spans="1:283" ht="13.8" x14ac:dyDescent="0.3">
      <c r="JK43" s="21"/>
      <c r="JL43" s="21"/>
      <c r="JM43" s="20"/>
      <c r="JN43" s="35"/>
      <c r="JO43" s="35"/>
      <c r="JP43" s="35"/>
      <c r="JQ43" s="41"/>
      <c r="JR43" s="35"/>
      <c r="JS43" s="35"/>
      <c r="JT43" s="35"/>
      <c r="JU43" s="35"/>
      <c r="JV43" s="35"/>
      <c r="JW43" s="35"/>
    </row>
    <row r="44" spans="1:283" ht="13.8" x14ac:dyDescent="0.3">
      <c r="JK44" s="21"/>
      <c r="JL44" s="21"/>
      <c r="JM44" s="20"/>
      <c r="JN44" s="35"/>
      <c r="JO44" s="35"/>
      <c r="JP44" s="35"/>
      <c r="JQ44" s="41"/>
      <c r="JR44" s="35"/>
      <c r="JS44" s="35"/>
      <c r="JT44" s="35"/>
      <c r="JU44" s="35"/>
      <c r="JV44" s="35"/>
      <c r="JW44" s="35"/>
    </row>
    <row r="45" spans="1:283" ht="13.8" x14ac:dyDescent="0.3">
      <c r="JK45" s="21"/>
      <c r="JL45" s="21"/>
      <c r="JM45" s="20"/>
      <c r="JN45" s="35"/>
      <c r="JO45" s="35"/>
      <c r="JP45" s="35"/>
      <c r="JQ45" s="41"/>
      <c r="JR45" s="35"/>
      <c r="JS45" s="35"/>
      <c r="JT45" s="35"/>
      <c r="JU45" s="35"/>
      <c r="JV45" s="35"/>
      <c r="JW45" s="35"/>
    </row>
    <row r="46" spans="1:283" ht="13.8" x14ac:dyDescent="0.3">
      <c r="JK46" s="21"/>
      <c r="JL46" s="21"/>
      <c r="JM46" s="20"/>
      <c r="JN46" s="35"/>
      <c r="JO46" s="35"/>
      <c r="JP46" s="35"/>
      <c r="JQ46" s="41"/>
      <c r="JR46" s="35"/>
      <c r="JS46" s="35"/>
      <c r="JT46" s="35"/>
      <c r="JU46" s="35"/>
      <c r="JV46" s="35"/>
      <c r="JW46" s="35"/>
    </row>
    <row r="47" spans="1:283" ht="13.8" x14ac:dyDescent="0.3">
      <c r="JK47" s="21"/>
      <c r="JL47" s="21"/>
      <c r="JM47" s="20"/>
      <c r="JN47" s="35"/>
      <c r="JO47" s="35"/>
      <c r="JP47" s="35"/>
      <c r="JQ47" s="41"/>
      <c r="JR47" s="35"/>
      <c r="JS47" s="35"/>
      <c r="JT47" s="35"/>
      <c r="JU47" s="35"/>
      <c r="JV47" s="35"/>
      <c r="JW47" s="35"/>
    </row>
    <row r="48" spans="1:283" ht="13.8" x14ac:dyDescent="0.3">
      <c r="JK48" s="21"/>
      <c r="JL48" s="21"/>
      <c r="JM48" s="20"/>
      <c r="JN48" s="35"/>
      <c r="JO48" s="35"/>
      <c r="JP48" s="35"/>
      <c r="JQ48" s="41"/>
      <c r="JR48" s="35"/>
      <c r="JS48" s="35"/>
      <c r="JT48" s="35"/>
      <c r="JU48" s="35"/>
      <c r="JV48" s="35"/>
      <c r="JW48" s="35"/>
    </row>
    <row r="49" spans="271:283" ht="13.8" x14ac:dyDescent="0.3">
      <c r="JK49" s="21"/>
      <c r="JL49" s="21"/>
      <c r="JM49" s="20"/>
      <c r="JN49" s="35"/>
      <c r="JO49" s="35"/>
      <c r="JP49" s="35"/>
      <c r="JQ49" s="41"/>
      <c r="JR49" s="35"/>
      <c r="JS49" s="35"/>
      <c r="JT49" s="35"/>
      <c r="JU49" s="35"/>
      <c r="JV49" s="35"/>
      <c r="JW49" s="35"/>
    </row>
    <row r="50" spans="271:283" ht="13.8" x14ac:dyDescent="0.3">
      <c r="JK50" s="21"/>
      <c r="JL50" s="21"/>
      <c r="JM50" s="20"/>
      <c r="JN50" s="35"/>
      <c r="JO50" s="35"/>
      <c r="JP50" s="35"/>
      <c r="JQ50" s="41"/>
      <c r="JR50" s="35"/>
      <c r="JS50" s="35"/>
      <c r="JT50" s="35"/>
      <c r="JU50" s="35"/>
      <c r="JV50" s="35"/>
      <c r="JW50" s="35"/>
    </row>
    <row r="51" spans="271:283" ht="13.8" x14ac:dyDescent="0.3">
      <c r="JK51" s="21"/>
      <c r="JL51" s="21"/>
      <c r="JM51" s="20"/>
      <c r="JN51" s="35"/>
      <c r="JO51" s="35"/>
      <c r="JP51" s="35"/>
      <c r="JQ51" s="41"/>
      <c r="JR51" s="35"/>
      <c r="JS51" s="35"/>
      <c r="JT51" s="35"/>
      <c r="JU51" s="35"/>
      <c r="JV51" s="35"/>
      <c r="JW51" s="35"/>
    </row>
    <row r="52" spans="271:283" ht="13.8" x14ac:dyDescent="0.3">
      <c r="JK52" s="21"/>
      <c r="JL52" s="21"/>
      <c r="JM52" s="20"/>
      <c r="JN52" s="35"/>
      <c r="JO52" s="35"/>
      <c r="JP52" s="35"/>
      <c r="JQ52" s="41"/>
      <c r="JR52" s="35"/>
      <c r="JS52" s="35"/>
      <c r="JT52" s="35"/>
      <c r="JU52" s="35"/>
      <c r="JV52" s="35"/>
      <c r="JW52" s="35"/>
    </row>
    <row r="53" spans="271:283" ht="13.8" x14ac:dyDescent="0.3">
      <c r="JK53" s="21"/>
      <c r="JL53" s="21"/>
      <c r="JM53" s="20"/>
      <c r="JN53" s="35"/>
      <c r="JO53" s="35"/>
      <c r="JP53" s="35"/>
      <c r="JQ53" s="41"/>
      <c r="JR53" s="35"/>
      <c r="JS53" s="35"/>
      <c r="JT53" s="35"/>
      <c r="JU53" s="35"/>
      <c r="JV53" s="35"/>
      <c r="JW53" s="35"/>
    </row>
    <row r="54" spans="271:283" ht="13.8" x14ac:dyDescent="0.3">
      <c r="JK54" s="21"/>
      <c r="JL54" s="21"/>
      <c r="JM54" s="20"/>
      <c r="JN54" s="35"/>
      <c r="JO54" s="35"/>
      <c r="JP54" s="35"/>
      <c r="JQ54" s="41"/>
      <c r="JR54" s="35"/>
      <c r="JS54" s="35"/>
      <c r="JT54" s="35"/>
      <c r="JU54" s="35"/>
      <c r="JV54" s="35"/>
      <c r="JW54" s="35"/>
    </row>
    <row r="55" spans="271:283" ht="13.8" x14ac:dyDescent="0.3">
      <c r="JK55" s="21"/>
      <c r="JL55" s="21"/>
      <c r="JM55" s="20"/>
      <c r="JN55" s="35"/>
      <c r="JO55" s="35"/>
      <c r="JP55" s="35"/>
      <c r="JQ55" s="41"/>
      <c r="JR55" s="35"/>
      <c r="JS55" s="35"/>
      <c r="JT55" s="35"/>
      <c r="JU55" s="35"/>
      <c r="JV55" s="35"/>
      <c r="JW55" s="35"/>
    </row>
    <row r="56" spans="271:283" ht="13.8" x14ac:dyDescent="0.3">
      <c r="JK56" s="21"/>
      <c r="JL56" s="21"/>
      <c r="JM56" s="20"/>
      <c r="JN56" s="35"/>
      <c r="JO56" s="35"/>
      <c r="JP56" s="35"/>
      <c r="JQ56" s="41"/>
      <c r="JR56" s="35"/>
      <c r="JS56" s="35"/>
      <c r="JT56" s="35"/>
      <c r="JU56" s="35"/>
      <c r="JV56" s="35"/>
      <c r="JW56" s="35"/>
    </row>
    <row r="57" spans="271:283" ht="13.8" x14ac:dyDescent="0.3">
      <c r="JK57" s="21"/>
      <c r="JL57" s="21"/>
      <c r="JM57" s="20"/>
      <c r="JN57" s="35"/>
      <c r="JO57" s="35"/>
      <c r="JP57" s="35"/>
      <c r="JQ57" s="41"/>
      <c r="JR57" s="35"/>
      <c r="JS57" s="35"/>
      <c r="JT57" s="35"/>
      <c r="JU57" s="35"/>
      <c r="JV57" s="35"/>
      <c r="JW57" s="35"/>
    </row>
    <row r="58" spans="271:283" ht="13.8" x14ac:dyDescent="0.3">
      <c r="JK58" s="21"/>
      <c r="JL58" s="21"/>
      <c r="JM58" s="20"/>
      <c r="JN58" s="35"/>
      <c r="JO58" s="35"/>
      <c r="JP58" s="35"/>
      <c r="JQ58" s="41"/>
      <c r="JR58" s="35"/>
      <c r="JS58" s="35"/>
      <c r="JT58" s="35"/>
      <c r="JU58" s="35"/>
      <c r="JV58" s="35"/>
      <c r="JW58" s="35"/>
    </row>
    <row r="59" spans="271:283" ht="13.8" x14ac:dyDescent="0.3">
      <c r="JK59" s="21"/>
      <c r="JL59" s="21"/>
      <c r="JM59" s="20"/>
      <c r="JN59" s="35"/>
      <c r="JO59" s="35"/>
      <c r="JP59" s="35"/>
      <c r="JQ59" s="41"/>
      <c r="JR59" s="35"/>
      <c r="JS59" s="35"/>
      <c r="JT59" s="35"/>
      <c r="JU59" s="35"/>
      <c r="JV59" s="35"/>
      <c r="JW59" s="35"/>
    </row>
    <row r="60" spans="271:283" ht="13.8" x14ac:dyDescent="0.3">
      <c r="JK60" s="21"/>
      <c r="JL60" s="21"/>
      <c r="JM60" s="20"/>
      <c r="JN60" s="35"/>
      <c r="JO60" s="35"/>
      <c r="JP60" s="35"/>
      <c r="JQ60" s="41"/>
      <c r="JR60" s="35"/>
      <c r="JS60" s="35"/>
      <c r="JT60" s="35"/>
      <c r="JU60" s="35"/>
      <c r="JV60" s="35"/>
      <c r="JW60" s="35"/>
    </row>
    <row r="61" spans="271:283" ht="13.8" x14ac:dyDescent="0.3">
      <c r="JK61" s="21"/>
      <c r="JL61" s="21"/>
      <c r="JM61" s="20"/>
      <c r="JN61" s="35"/>
      <c r="JO61" s="35"/>
      <c r="JP61" s="35"/>
      <c r="JQ61" s="41"/>
      <c r="JR61" s="35"/>
      <c r="JS61" s="35"/>
      <c r="JT61" s="35"/>
      <c r="JU61" s="35"/>
      <c r="JV61" s="35"/>
      <c r="JW61" s="35"/>
    </row>
    <row r="62" spans="271:283" ht="13.8" x14ac:dyDescent="0.3">
      <c r="JK62" s="21"/>
      <c r="JL62" s="21"/>
      <c r="JM62" s="20"/>
      <c r="JN62" s="35"/>
      <c r="JO62" s="35"/>
      <c r="JP62" s="35"/>
      <c r="JQ62" s="41"/>
      <c r="JR62" s="35"/>
      <c r="JS62" s="35"/>
      <c r="JT62" s="35"/>
      <c r="JU62" s="35"/>
      <c r="JV62" s="35"/>
      <c r="JW62" s="35"/>
    </row>
    <row r="63" spans="271:283" ht="13.8" x14ac:dyDescent="0.3">
      <c r="JK63" s="21"/>
      <c r="JL63" s="21"/>
      <c r="JM63" s="20"/>
      <c r="JN63" s="35"/>
      <c r="JO63" s="35"/>
      <c r="JP63" s="35"/>
      <c r="JQ63" s="41"/>
      <c r="JR63" s="35"/>
      <c r="JS63" s="35"/>
      <c r="JT63" s="35"/>
      <c r="JU63" s="35"/>
      <c r="JV63" s="35"/>
      <c r="JW63" s="35"/>
    </row>
    <row r="64" spans="271:283" ht="13.8" x14ac:dyDescent="0.3">
      <c r="JK64" s="21"/>
      <c r="JL64" s="21"/>
      <c r="JM64" s="20"/>
      <c r="JN64" s="35"/>
      <c r="JO64" s="35"/>
      <c r="JP64" s="35"/>
      <c r="JQ64" s="41"/>
      <c r="JR64" s="35"/>
      <c r="JS64" s="35"/>
      <c r="JT64" s="35"/>
      <c r="JU64" s="35"/>
      <c r="JV64" s="35"/>
      <c r="JW64" s="35"/>
    </row>
    <row r="65" spans="271:283" ht="13.8" x14ac:dyDescent="0.3">
      <c r="JK65" s="21"/>
      <c r="JL65" s="21"/>
      <c r="JM65" s="20"/>
      <c r="JN65" s="35"/>
      <c r="JO65" s="35"/>
      <c r="JP65" s="35"/>
      <c r="JQ65" s="41"/>
      <c r="JR65" s="35"/>
      <c r="JS65" s="35"/>
      <c r="JT65" s="35"/>
      <c r="JU65" s="35"/>
      <c r="JV65" s="35"/>
      <c r="JW65" s="35"/>
    </row>
    <row r="66" spans="271:283" ht="13.8" x14ac:dyDescent="0.3">
      <c r="JK66" s="21"/>
      <c r="JL66" s="21"/>
      <c r="JM66" s="20"/>
      <c r="JN66" s="35"/>
      <c r="JO66" s="35"/>
      <c r="JP66" s="35"/>
      <c r="JQ66" s="41"/>
      <c r="JR66" s="35"/>
      <c r="JS66" s="35"/>
      <c r="JT66" s="35"/>
      <c r="JU66" s="35"/>
      <c r="JV66" s="35"/>
      <c r="JW66" s="35"/>
    </row>
    <row r="67" spans="271:283" ht="13.8" x14ac:dyDescent="0.3">
      <c r="JK67" s="21"/>
      <c r="JL67" s="21"/>
      <c r="JM67" s="20"/>
      <c r="JN67" s="35"/>
      <c r="JO67" s="35"/>
      <c r="JP67" s="35"/>
      <c r="JQ67" s="41"/>
      <c r="JR67" s="35"/>
      <c r="JS67" s="35"/>
      <c r="JT67" s="35"/>
      <c r="JU67" s="35"/>
      <c r="JV67" s="35"/>
      <c r="JW67" s="35"/>
    </row>
    <row r="68" spans="271:283" ht="13.8" x14ac:dyDescent="0.3">
      <c r="JK68" s="21"/>
      <c r="JL68" s="21"/>
      <c r="JM68" s="20"/>
      <c r="JN68" s="35"/>
      <c r="JO68" s="35"/>
      <c r="JP68" s="35"/>
      <c r="JQ68" s="41"/>
      <c r="JR68" s="35"/>
      <c r="JS68" s="35"/>
      <c r="JT68" s="35"/>
      <c r="JU68" s="35"/>
      <c r="JV68" s="35"/>
      <c r="JW68" s="35"/>
    </row>
    <row r="69" spans="271:283" ht="13.8" x14ac:dyDescent="0.3">
      <c r="JK69" s="21"/>
      <c r="JL69" s="21"/>
      <c r="JM69" s="20"/>
      <c r="JN69" s="35"/>
      <c r="JO69" s="35"/>
      <c r="JP69" s="35"/>
      <c r="JQ69" s="41"/>
      <c r="JR69" s="35"/>
      <c r="JS69" s="35"/>
      <c r="JT69" s="35"/>
      <c r="JU69" s="35"/>
      <c r="JV69" s="35"/>
      <c r="JW69" s="35"/>
    </row>
    <row r="70" spans="271:283" ht="13.8" x14ac:dyDescent="0.3">
      <c r="JK70" s="21"/>
      <c r="JL70" s="21"/>
      <c r="JM70" s="20"/>
      <c r="JN70" s="35"/>
      <c r="JO70" s="35"/>
      <c r="JP70" s="35"/>
      <c r="JQ70" s="41"/>
      <c r="JR70" s="35"/>
      <c r="JS70" s="35"/>
      <c r="JT70" s="35"/>
      <c r="JU70" s="35"/>
      <c r="JV70" s="35"/>
      <c r="JW70" s="35"/>
    </row>
    <row r="71" spans="271:283" ht="13.8" x14ac:dyDescent="0.3">
      <c r="JK71" s="21"/>
      <c r="JL71" s="21"/>
      <c r="JM71" s="20"/>
      <c r="JN71" s="35"/>
      <c r="JO71" s="35"/>
      <c r="JP71" s="35"/>
      <c r="JQ71" s="41"/>
      <c r="JR71" s="35"/>
      <c r="JS71" s="35"/>
      <c r="JT71" s="35"/>
      <c r="JU71" s="35"/>
      <c r="JV71" s="35"/>
      <c r="JW71" s="35"/>
    </row>
    <row r="72" spans="271:283" ht="13.8" x14ac:dyDescent="0.3">
      <c r="JK72" s="21"/>
      <c r="JL72" s="21"/>
      <c r="JM72" s="20"/>
      <c r="JN72" s="35"/>
      <c r="JO72" s="35"/>
      <c r="JP72" s="35"/>
      <c r="JQ72" s="41"/>
      <c r="JR72" s="35"/>
      <c r="JS72" s="35"/>
      <c r="JT72" s="35"/>
      <c r="JU72" s="35"/>
      <c r="JV72" s="35"/>
      <c r="JW72" s="35"/>
    </row>
    <row r="73" spans="271:283" ht="13.8" x14ac:dyDescent="0.3">
      <c r="JK73" s="21"/>
      <c r="JL73" s="21"/>
      <c r="JM73" s="20"/>
      <c r="JN73" s="35"/>
      <c r="JO73" s="35"/>
      <c r="JP73" s="35"/>
      <c r="JQ73" s="41"/>
      <c r="JR73" s="35"/>
      <c r="JS73" s="35"/>
      <c r="JT73" s="35"/>
      <c r="JU73" s="35"/>
      <c r="JV73" s="35"/>
      <c r="JW73" s="35"/>
    </row>
    <row r="74" spans="271:283" ht="13.8" x14ac:dyDescent="0.3">
      <c r="JK74" s="21"/>
      <c r="JL74" s="21"/>
      <c r="JM74" s="20"/>
      <c r="JN74" s="35"/>
      <c r="JO74" s="35"/>
      <c r="JP74" s="35"/>
      <c r="JQ74" s="41"/>
      <c r="JR74" s="35"/>
      <c r="JS74" s="35"/>
      <c r="JT74" s="35"/>
      <c r="JU74" s="35"/>
      <c r="JV74" s="35"/>
      <c r="JW74" s="35"/>
    </row>
    <row r="75" spans="271:283" ht="13.8" x14ac:dyDescent="0.3">
      <c r="JK75" s="21"/>
      <c r="JL75" s="21"/>
      <c r="JM75" s="20"/>
      <c r="JN75" s="35"/>
      <c r="JO75" s="35"/>
      <c r="JP75" s="35"/>
      <c r="JQ75" s="41"/>
      <c r="JR75" s="35"/>
      <c r="JS75" s="35"/>
      <c r="JT75" s="35"/>
      <c r="JU75" s="35"/>
      <c r="JV75" s="35"/>
      <c r="JW75" s="35"/>
    </row>
    <row r="76" spans="271:283" ht="13.8" x14ac:dyDescent="0.3">
      <c r="JK76" s="21"/>
      <c r="JL76" s="21"/>
      <c r="JM76" s="20"/>
      <c r="JN76" s="35"/>
      <c r="JO76" s="35"/>
      <c r="JP76" s="35"/>
      <c r="JQ76" s="41"/>
      <c r="JR76" s="35"/>
      <c r="JS76" s="35"/>
      <c r="JT76" s="35"/>
      <c r="JU76" s="35"/>
      <c r="JV76" s="35"/>
      <c r="JW76" s="35"/>
    </row>
    <row r="77" spans="271:283" ht="13.8" x14ac:dyDescent="0.3">
      <c r="JK77" s="21"/>
      <c r="JL77" s="21"/>
      <c r="JM77" s="20"/>
      <c r="JN77" s="35"/>
      <c r="JO77" s="35"/>
      <c r="JP77" s="35"/>
      <c r="JQ77" s="41"/>
      <c r="JR77" s="35"/>
      <c r="JS77" s="35"/>
      <c r="JT77" s="35"/>
      <c r="JU77" s="35"/>
      <c r="JV77" s="35"/>
      <c r="JW77" s="35"/>
    </row>
    <row r="78" spans="271:283" ht="13.8" x14ac:dyDescent="0.3">
      <c r="JK78" s="21"/>
      <c r="JL78" s="21"/>
      <c r="JM78" s="20"/>
      <c r="JN78" s="35"/>
      <c r="JO78" s="35"/>
      <c r="JP78" s="35"/>
      <c r="JQ78" s="41"/>
      <c r="JR78" s="35"/>
      <c r="JS78" s="35"/>
      <c r="JT78" s="35"/>
      <c r="JU78" s="35"/>
      <c r="JV78" s="35"/>
      <c r="JW78" s="35"/>
    </row>
    <row r="79" spans="271:283" ht="13.8" x14ac:dyDescent="0.3">
      <c r="JK79" s="21"/>
      <c r="JL79" s="21"/>
      <c r="JM79" s="20"/>
      <c r="JN79" s="35"/>
      <c r="JO79" s="35"/>
      <c r="JP79" s="35"/>
      <c r="JQ79" s="41"/>
      <c r="JR79" s="35"/>
      <c r="JS79" s="35"/>
      <c r="JT79" s="35"/>
      <c r="JU79" s="35"/>
      <c r="JV79" s="35"/>
      <c r="JW79" s="35"/>
    </row>
    <row r="80" spans="271:283" ht="13.8" x14ac:dyDescent="0.3">
      <c r="JK80" s="21"/>
      <c r="JL80" s="21"/>
      <c r="JM80" s="20"/>
      <c r="JN80" s="35"/>
      <c r="JO80" s="35"/>
      <c r="JP80" s="35"/>
      <c r="JQ80" s="41"/>
      <c r="JR80" s="35"/>
      <c r="JS80" s="35"/>
      <c r="JT80" s="35"/>
      <c r="JU80" s="35"/>
      <c r="JV80" s="35"/>
      <c r="JW80" s="35"/>
    </row>
    <row r="81" spans="271:283" ht="13.8" x14ac:dyDescent="0.3">
      <c r="JK81" s="21"/>
      <c r="JL81" s="21"/>
      <c r="JM81" s="20"/>
      <c r="JN81" s="35"/>
      <c r="JO81" s="35"/>
      <c r="JP81" s="35"/>
      <c r="JQ81" s="41"/>
      <c r="JR81" s="35"/>
      <c r="JS81" s="35"/>
      <c r="JT81" s="35"/>
      <c r="JU81" s="35"/>
      <c r="JV81" s="35"/>
      <c r="JW81" s="35"/>
    </row>
    <row r="82" spans="271:283" ht="13.8" x14ac:dyDescent="0.3">
      <c r="JK82" s="21"/>
      <c r="JL82" s="21"/>
      <c r="JM82" s="20"/>
      <c r="JN82" s="35"/>
      <c r="JO82" s="35"/>
      <c r="JP82" s="35"/>
      <c r="JQ82" s="41"/>
      <c r="JR82" s="35"/>
      <c r="JS82" s="35"/>
      <c r="JT82" s="35"/>
      <c r="JU82" s="35"/>
      <c r="JV82" s="35"/>
      <c r="JW82" s="35"/>
    </row>
    <row r="83" spans="271:283" ht="13.8" x14ac:dyDescent="0.3">
      <c r="JK83" s="21"/>
      <c r="JL83" s="21"/>
      <c r="JM83" s="20"/>
      <c r="JN83" s="35"/>
      <c r="JO83" s="35"/>
      <c r="JP83" s="35"/>
      <c r="JQ83" s="41"/>
      <c r="JR83" s="35"/>
      <c r="JS83" s="35"/>
      <c r="JT83" s="35"/>
      <c r="JU83" s="35"/>
      <c r="JV83" s="35"/>
      <c r="JW83" s="35"/>
    </row>
    <row r="84" spans="271:283" ht="13.8" x14ac:dyDescent="0.3">
      <c r="JK84" s="21"/>
      <c r="JL84" s="21"/>
      <c r="JM84" s="20"/>
      <c r="JN84" s="35"/>
      <c r="JO84" s="35"/>
      <c r="JP84" s="35"/>
      <c r="JQ84" s="41"/>
      <c r="JR84" s="35"/>
      <c r="JS84" s="35"/>
      <c r="JT84" s="35"/>
      <c r="JU84" s="35"/>
      <c r="JV84" s="35"/>
      <c r="JW84" s="35"/>
    </row>
    <row r="85" spans="271:283" ht="13.8" x14ac:dyDescent="0.3">
      <c r="JK85" s="21"/>
      <c r="JL85" s="21"/>
      <c r="JM85" s="20"/>
      <c r="JN85" s="35"/>
      <c r="JO85" s="35"/>
      <c r="JP85" s="35"/>
      <c r="JQ85" s="41"/>
      <c r="JR85" s="35"/>
      <c r="JS85" s="35"/>
      <c r="JT85" s="35"/>
      <c r="JU85" s="35"/>
      <c r="JV85" s="35"/>
      <c r="JW85" s="35"/>
    </row>
    <row r="86" spans="271:283" ht="13.8" x14ac:dyDescent="0.3">
      <c r="JK86" s="21"/>
      <c r="JL86" s="21"/>
      <c r="JM86" s="20"/>
      <c r="JN86" s="35"/>
      <c r="JO86" s="35"/>
      <c r="JP86" s="35"/>
      <c r="JQ86" s="41"/>
      <c r="JR86" s="35"/>
      <c r="JS86" s="35"/>
      <c r="JT86" s="35"/>
      <c r="JU86" s="35"/>
      <c r="JV86" s="35"/>
      <c r="JW86" s="35"/>
    </row>
    <row r="87" spans="271:283" ht="13.8" x14ac:dyDescent="0.3">
      <c r="JK87" s="21"/>
      <c r="JL87" s="21"/>
      <c r="JM87" s="20"/>
      <c r="JN87" s="35"/>
      <c r="JO87" s="35"/>
      <c r="JP87" s="35"/>
      <c r="JQ87" s="41"/>
      <c r="JR87" s="35"/>
      <c r="JS87" s="35"/>
      <c r="JT87" s="35"/>
      <c r="JU87" s="35"/>
      <c r="JV87" s="35"/>
      <c r="JW87" s="35"/>
    </row>
    <row r="88" spans="271:283" ht="13.8" x14ac:dyDescent="0.3">
      <c r="JK88" s="21"/>
      <c r="JL88" s="21"/>
      <c r="JM88" s="20"/>
      <c r="JN88" s="35"/>
      <c r="JO88" s="35"/>
      <c r="JP88" s="35"/>
      <c r="JQ88" s="41"/>
      <c r="JR88" s="35"/>
      <c r="JS88" s="35"/>
      <c r="JT88" s="35"/>
      <c r="JU88" s="35"/>
      <c r="JV88" s="35"/>
      <c r="JW88" s="35"/>
    </row>
    <row r="89" spans="271:283" ht="13.8" x14ac:dyDescent="0.3">
      <c r="JK89" s="21"/>
      <c r="JL89" s="21"/>
      <c r="JM89" s="20"/>
      <c r="JN89" s="35"/>
      <c r="JO89" s="35"/>
      <c r="JP89" s="35"/>
      <c r="JQ89" s="41"/>
      <c r="JR89" s="35"/>
      <c r="JS89" s="35"/>
      <c r="JT89" s="35"/>
      <c r="JU89" s="35"/>
      <c r="JV89" s="35"/>
      <c r="JW89" s="35"/>
    </row>
    <row r="90" spans="271:283" ht="13.8" x14ac:dyDescent="0.3">
      <c r="JK90" s="21"/>
      <c r="JL90" s="21"/>
      <c r="JM90" s="20"/>
      <c r="JN90" s="35"/>
      <c r="JO90" s="35"/>
      <c r="JP90" s="35"/>
      <c r="JQ90" s="41"/>
      <c r="JR90" s="35"/>
      <c r="JS90" s="35"/>
      <c r="JT90" s="35"/>
      <c r="JU90" s="35"/>
      <c r="JV90" s="35"/>
      <c r="JW90" s="35"/>
    </row>
    <row r="91" spans="271:283" ht="13.8" x14ac:dyDescent="0.3">
      <c r="JK91" s="21"/>
      <c r="JL91" s="21"/>
      <c r="JM91" s="20"/>
      <c r="JN91" s="35"/>
      <c r="JO91" s="35"/>
      <c r="JP91" s="35"/>
      <c r="JQ91" s="41"/>
      <c r="JR91" s="35"/>
      <c r="JS91" s="35"/>
      <c r="JT91" s="35"/>
      <c r="JU91" s="35"/>
      <c r="JV91" s="35"/>
      <c r="JW91" s="35"/>
    </row>
    <row r="92" spans="271:283" ht="13.8" x14ac:dyDescent="0.3">
      <c r="JK92" s="21"/>
      <c r="JL92" s="21"/>
      <c r="JM92" s="20"/>
      <c r="JN92" s="35"/>
      <c r="JO92" s="35"/>
      <c r="JP92" s="35"/>
      <c r="JQ92" s="41"/>
      <c r="JR92" s="35"/>
      <c r="JS92" s="35"/>
      <c r="JT92" s="35"/>
      <c r="JU92" s="35"/>
      <c r="JV92" s="35"/>
      <c r="JW92" s="35"/>
    </row>
    <row r="93" spans="271:283" ht="13.8" x14ac:dyDescent="0.3">
      <c r="JK93" s="21"/>
      <c r="JL93" s="21"/>
      <c r="JM93" s="20"/>
      <c r="JN93" s="35"/>
      <c r="JO93" s="35"/>
      <c r="JP93" s="35"/>
      <c r="JQ93" s="41"/>
      <c r="JR93" s="35"/>
      <c r="JS93" s="35"/>
      <c r="JT93" s="35"/>
      <c r="JU93" s="35"/>
      <c r="JV93" s="35"/>
      <c r="JW93" s="35"/>
    </row>
    <row r="94" spans="271:283" ht="13.8" x14ac:dyDescent="0.3">
      <c r="JK94" s="21"/>
      <c r="JL94" s="21"/>
      <c r="JM94" s="20"/>
      <c r="JN94" s="35"/>
      <c r="JO94" s="35"/>
      <c r="JP94" s="35"/>
      <c r="JQ94" s="41"/>
      <c r="JR94" s="35"/>
      <c r="JS94" s="35"/>
      <c r="JT94" s="35"/>
      <c r="JU94" s="35"/>
      <c r="JV94" s="35"/>
      <c r="JW94" s="35"/>
    </row>
    <row r="95" spans="271:283" ht="13.8" x14ac:dyDescent="0.3">
      <c r="JK95" s="21"/>
      <c r="JL95" s="21"/>
      <c r="JM95" s="20"/>
      <c r="JN95" s="35"/>
      <c r="JO95" s="35"/>
      <c r="JP95" s="35"/>
      <c r="JQ95" s="41"/>
      <c r="JR95" s="35"/>
      <c r="JS95" s="35"/>
      <c r="JT95" s="35"/>
      <c r="JU95" s="35"/>
      <c r="JV95" s="35"/>
      <c r="JW95" s="35"/>
    </row>
    <row r="96" spans="271:283" ht="13.8" x14ac:dyDescent="0.3">
      <c r="JK96" s="21"/>
      <c r="JL96" s="21"/>
      <c r="JM96" s="20"/>
      <c r="JN96" s="35"/>
      <c r="JO96" s="35"/>
      <c r="JP96" s="35"/>
      <c r="JQ96" s="41"/>
      <c r="JR96" s="35"/>
      <c r="JS96" s="35"/>
      <c r="JT96" s="35"/>
      <c r="JU96" s="35"/>
      <c r="JV96" s="35"/>
      <c r="JW96" s="35"/>
    </row>
    <row r="97" spans="271:283" ht="13.8" x14ac:dyDescent="0.3">
      <c r="JK97" s="21"/>
      <c r="JL97" s="21"/>
      <c r="JM97" s="20"/>
      <c r="JN97" s="35"/>
      <c r="JO97" s="35"/>
      <c r="JP97" s="35"/>
      <c r="JQ97" s="41"/>
      <c r="JR97" s="35"/>
      <c r="JS97" s="35"/>
      <c r="JT97" s="35"/>
      <c r="JU97" s="35"/>
      <c r="JV97" s="35"/>
      <c r="JW97" s="35"/>
    </row>
    <row r="98" spans="271:283" ht="13.8" x14ac:dyDescent="0.3">
      <c r="JK98" s="21"/>
      <c r="JL98" s="21"/>
      <c r="JM98" s="20"/>
      <c r="JN98" s="35"/>
      <c r="JO98" s="35"/>
      <c r="JP98" s="35"/>
      <c r="JQ98" s="41"/>
      <c r="JR98" s="35"/>
      <c r="JS98" s="35"/>
      <c r="JT98" s="35"/>
      <c r="JU98" s="35"/>
      <c r="JV98" s="35"/>
      <c r="JW98" s="35"/>
    </row>
    <row r="99" spans="271:283" ht="13.8" x14ac:dyDescent="0.3">
      <c r="JK99" s="21"/>
      <c r="JL99" s="21"/>
      <c r="JM99" s="20"/>
      <c r="JN99" s="35"/>
      <c r="JO99" s="35"/>
      <c r="JP99" s="35"/>
      <c r="JQ99" s="41"/>
      <c r="JR99" s="35"/>
      <c r="JS99" s="35"/>
      <c r="JT99" s="35"/>
      <c r="JU99" s="35"/>
      <c r="JV99" s="35"/>
      <c r="JW99" s="35"/>
    </row>
    <row r="100" spans="271:283" ht="13.8" x14ac:dyDescent="0.3">
      <c r="JK100" s="21"/>
      <c r="JL100" s="21"/>
      <c r="JM100" s="20"/>
      <c r="JN100" s="35"/>
      <c r="JO100" s="35"/>
      <c r="JP100" s="35"/>
      <c r="JQ100" s="41"/>
      <c r="JR100" s="35"/>
      <c r="JS100" s="35"/>
      <c r="JT100" s="35"/>
      <c r="JU100" s="35"/>
      <c r="JV100" s="35"/>
      <c r="JW100" s="35"/>
    </row>
    <row r="101" spans="271:283" ht="13.8" x14ac:dyDescent="0.3">
      <c r="JK101" s="21"/>
      <c r="JL101" s="21"/>
      <c r="JM101" s="20"/>
      <c r="JN101" s="35"/>
      <c r="JO101" s="35"/>
      <c r="JP101" s="35"/>
      <c r="JQ101" s="41"/>
      <c r="JR101" s="35"/>
      <c r="JS101" s="35"/>
      <c r="JT101" s="35"/>
      <c r="JU101" s="35"/>
      <c r="JV101" s="35"/>
      <c r="JW101" s="35"/>
    </row>
    <row r="102" spans="271:283" ht="13.8" x14ac:dyDescent="0.3">
      <c r="JK102" s="21"/>
      <c r="JL102" s="21"/>
      <c r="JM102" s="20"/>
      <c r="JN102" s="35"/>
      <c r="JO102" s="35"/>
      <c r="JP102" s="35"/>
      <c r="JQ102" s="41"/>
      <c r="JR102" s="35"/>
      <c r="JS102" s="35"/>
      <c r="JT102" s="35"/>
      <c r="JU102" s="35"/>
      <c r="JV102" s="35"/>
      <c r="JW102" s="35"/>
    </row>
    <row r="103" spans="271:283" ht="13.8" x14ac:dyDescent="0.3">
      <c r="JK103" s="21"/>
      <c r="JL103" s="21"/>
      <c r="JM103" s="20"/>
      <c r="JN103" s="35"/>
      <c r="JO103" s="35"/>
      <c r="JP103" s="35"/>
      <c r="JQ103" s="41"/>
      <c r="JR103" s="35"/>
      <c r="JS103" s="35"/>
      <c r="JT103" s="35"/>
      <c r="JU103" s="35"/>
      <c r="JV103" s="35"/>
      <c r="JW103" s="35"/>
    </row>
    <row r="104" spans="271:283" ht="13.8" x14ac:dyDescent="0.3">
      <c r="JK104" s="21"/>
      <c r="JL104" s="21"/>
      <c r="JM104" s="20"/>
      <c r="JN104" s="35"/>
      <c r="JO104" s="35"/>
      <c r="JP104" s="35"/>
      <c r="JQ104" s="41"/>
      <c r="JR104" s="35"/>
      <c r="JS104" s="35"/>
      <c r="JT104" s="35"/>
      <c r="JU104" s="35"/>
      <c r="JV104" s="35"/>
      <c r="JW104" s="35"/>
    </row>
    <row r="105" spans="271:283" ht="13.8" x14ac:dyDescent="0.3">
      <c r="JK105" s="21"/>
      <c r="JL105" s="21"/>
      <c r="JM105" s="20"/>
      <c r="JN105" s="35"/>
      <c r="JO105" s="35"/>
      <c r="JP105" s="35"/>
      <c r="JQ105" s="41"/>
      <c r="JR105" s="35"/>
      <c r="JS105" s="35"/>
      <c r="JT105" s="35"/>
      <c r="JU105" s="35"/>
      <c r="JV105" s="35"/>
      <c r="JW105" s="35"/>
    </row>
    <row r="106" spans="271:283" ht="13.8" x14ac:dyDescent="0.3">
      <c r="JK106" s="21"/>
      <c r="JL106" s="21"/>
      <c r="JM106" s="20"/>
      <c r="JN106" s="35"/>
      <c r="JO106" s="35"/>
      <c r="JP106" s="35"/>
      <c r="JQ106" s="41"/>
      <c r="JR106" s="35"/>
      <c r="JS106" s="35"/>
      <c r="JT106" s="35"/>
      <c r="JU106" s="35"/>
      <c r="JV106" s="35"/>
      <c r="JW106" s="35"/>
    </row>
    <row r="107" spans="271:283" ht="13.8" x14ac:dyDescent="0.3">
      <c r="JK107" s="21"/>
      <c r="JL107" s="21"/>
      <c r="JM107" s="20"/>
      <c r="JN107" s="35"/>
      <c r="JO107" s="35"/>
      <c r="JP107" s="35"/>
      <c r="JQ107" s="41"/>
      <c r="JR107" s="35"/>
      <c r="JS107" s="35"/>
      <c r="JT107" s="35"/>
      <c r="JU107" s="35"/>
      <c r="JV107" s="35"/>
      <c r="JW107" s="35"/>
    </row>
    <row r="108" spans="271:283" ht="13.8" x14ac:dyDescent="0.3">
      <c r="JK108" s="21"/>
      <c r="JL108" s="21"/>
      <c r="JM108" s="20"/>
      <c r="JN108" s="35"/>
      <c r="JO108" s="35"/>
      <c r="JP108" s="35"/>
      <c r="JQ108" s="41"/>
      <c r="JR108" s="35"/>
      <c r="JS108" s="35"/>
      <c r="JT108" s="35"/>
      <c r="JU108" s="35"/>
      <c r="JV108" s="35"/>
      <c r="JW108" s="35"/>
    </row>
    <row r="109" spans="271:283" ht="13.8" x14ac:dyDescent="0.3">
      <c r="JK109" s="21"/>
      <c r="JL109" s="21"/>
      <c r="JM109" s="20"/>
      <c r="JN109" s="35"/>
      <c r="JO109" s="35"/>
      <c r="JP109" s="35"/>
      <c r="JQ109" s="41"/>
      <c r="JR109" s="35"/>
      <c r="JS109" s="35"/>
      <c r="JT109" s="35"/>
      <c r="JU109" s="35"/>
      <c r="JV109" s="35"/>
      <c r="JW109" s="35"/>
    </row>
    <row r="110" spans="271:283" ht="13.8" x14ac:dyDescent="0.3">
      <c r="JK110" s="21"/>
      <c r="JL110" s="21"/>
      <c r="JM110" s="20"/>
      <c r="JN110" s="35"/>
      <c r="JO110" s="35"/>
      <c r="JP110" s="35"/>
      <c r="JQ110" s="41"/>
      <c r="JR110" s="35"/>
      <c r="JS110" s="35"/>
      <c r="JT110" s="35"/>
      <c r="JU110" s="35"/>
      <c r="JV110" s="35"/>
      <c r="JW110" s="35"/>
    </row>
    <row r="111" spans="271:283" ht="13.8" x14ac:dyDescent="0.3">
      <c r="JK111" s="21"/>
      <c r="JL111" s="21"/>
      <c r="JM111" s="20"/>
      <c r="JN111" s="35"/>
      <c r="JO111" s="35"/>
      <c r="JP111" s="35"/>
      <c r="JQ111" s="41"/>
      <c r="JR111" s="35"/>
      <c r="JS111" s="35"/>
      <c r="JT111" s="35"/>
      <c r="JU111" s="35"/>
      <c r="JV111" s="35"/>
      <c r="JW111" s="35"/>
    </row>
    <row r="112" spans="271:283" ht="13.8" x14ac:dyDescent="0.3">
      <c r="JK112" s="21"/>
      <c r="JL112" s="21"/>
      <c r="JM112" s="20"/>
      <c r="JN112" s="35"/>
      <c r="JO112" s="35"/>
      <c r="JP112" s="35"/>
      <c r="JQ112" s="41"/>
      <c r="JR112" s="35"/>
      <c r="JS112" s="35"/>
      <c r="JT112" s="35"/>
      <c r="JU112" s="35"/>
      <c r="JV112" s="35"/>
      <c r="JW112" s="35"/>
    </row>
    <row r="113" spans="271:283" ht="13.8" x14ac:dyDescent="0.3">
      <c r="JK113" s="21"/>
      <c r="JL113" s="21"/>
      <c r="JM113" s="20"/>
      <c r="JN113" s="35"/>
      <c r="JO113" s="35"/>
      <c r="JP113" s="35"/>
      <c r="JQ113" s="41"/>
      <c r="JR113" s="35"/>
      <c r="JS113" s="35"/>
      <c r="JT113" s="35"/>
      <c r="JU113" s="35"/>
      <c r="JV113" s="35"/>
      <c r="JW113" s="35"/>
    </row>
    <row r="114" spans="271:283" ht="13.8" x14ac:dyDescent="0.3">
      <c r="JK114" s="21"/>
      <c r="JL114" s="21"/>
      <c r="JM114" s="20"/>
      <c r="JN114" s="35"/>
      <c r="JO114" s="35"/>
      <c r="JP114" s="35"/>
      <c r="JQ114" s="41"/>
      <c r="JR114" s="35"/>
      <c r="JS114" s="35"/>
      <c r="JT114" s="35"/>
      <c r="JU114" s="35"/>
      <c r="JV114" s="35"/>
      <c r="JW114" s="35"/>
    </row>
    <row r="115" spans="271:283" ht="13.8" x14ac:dyDescent="0.3">
      <c r="JK115" s="21"/>
      <c r="JL115" s="21"/>
      <c r="JM115" s="20"/>
      <c r="JN115" s="35"/>
      <c r="JO115" s="35"/>
      <c r="JP115" s="35"/>
      <c r="JQ115" s="41"/>
      <c r="JR115" s="35"/>
      <c r="JS115" s="35"/>
      <c r="JT115" s="35"/>
      <c r="JU115" s="35"/>
      <c r="JV115" s="35"/>
      <c r="JW115" s="35"/>
    </row>
    <row r="116" spans="271:283" ht="13.8" x14ac:dyDescent="0.3">
      <c r="JK116" s="21"/>
      <c r="JL116" s="21"/>
      <c r="JM116" s="20"/>
      <c r="JN116" s="35"/>
      <c r="JO116" s="35"/>
      <c r="JP116" s="35"/>
      <c r="JQ116" s="41"/>
      <c r="JR116" s="35"/>
      <c r="JS116" s="35"/>
      <c r="JT116" s="35"/>
      <c r="JU116" s="35"/>
      <c r="JV116" s="35"/>
      <c r="JW116" s="35"/>
    </row>
    <row r="117" spans="271:283" ht="13.8" x14ac:dyDescent="0.3">
      <c r="JK117" s="21"/>
      <c r="JL117" s="21"/>
      <c r="JM117" s="20"/>
      <c r="JN117" s="35"/>
      <c r="JO117" s="35"/>
      <c r="JP117" s="35"/>
      <c r="JQ117" s="41"/>
      <c r="JR117" s="35"/>
      <c r="JS117" s="35"/>
      <c r="JT117" s="35"/>
      <c r="JU117" s="35"/>
      <c r="JV117" s="35"/>
      <c r="JW117" s="35"/>
    </row>
    <row r="118" spans="271:283" ht="13.8" x14ac:dyDescent="0.3">
      <c r="JK118" s="21"/>
      <c r="JL118" s="21"/>
      <c r="JM118" s="20"/>
      <c r="JN118" s="35"/>
      <c r="JO118" s="35"/>
      <c r="JP118" s="35"/>
      <c r="JQ118" s="41"/>
      <c r="JR118" s="35"/>
      <c r="JS118" s="35"/>
      <c r="JT118" s="35"/>
      <c r="JU118" s="35"/>
      <c r="JV118" s="35"/>
      <c r="JW118" s="35"/>
    </row>
    <row r="119" spans="271:283" ht="13.8" x14ac:dyDescent="0.3">
      <c r="JK119" s="21"/>
      <c r="JL119" s="21"/>
      <c r="JM119" s="20"/>
      <c r="JN119" s="35"/>
      <c r="JO119" s="35"/>
      <c r="JP119" s="35"/>
      <c r="JQ119" s="41"/>
      <c r="JR119" s="35"/>
      <c r="JS119" s="35"/>
      <c r="JT119" s="35"/>
      <c r="JU119" s="35"/>
      <c r="JV119" s="35"/>
      <c r="JW119" s="35"/>
    </row>
    <row r="120" spans="271:283" ht="13.8" x14ac:dyDescent="0.3">
      <c r="JK120" s="21"/>
      <c r="JL120" s="21"/>
      <c r="JM120" s="20"/>
      <c r="JN120" s="35"/>
      <c r="JO120" s="35"/>
      <c r="JP120" s="35"/>
      <c r="JQ120" s="41"/>
      <c r="JR120" s="35"/>
      <c r="JS120" s="35"/>
      <c r="JT120" s="35"/>
      <c r="JU120" s="35"/>
      <c r="JV120" s="35"/>
      <c r="JW120" s="35"/>
    </row>
    <row r="121" spans="271:283" ht="13.8" x14ac:dyDescent="0.3">
      <c r="JK121" s="21"/>
      <c r="JL121" s="21"/>
      <c r="JM121" s="20"/>
      <c r="JN121" s="35"/>
      <c r="JO121" s="35"/>
      <c r="JP121" s="35"/>
      <c r="JQ121" s="41"/>
      <c r="JR121" s="35"/>
      <c r="JS121" s="35"/>
      <c r="JT121" s="35"/>
      <c r="JU121" s="35"/>
      <c r="JV121" s="35"/>
      <c r="JW121" s="35"/>
    </row>
    <row r="122" spans="271:283" ht="13.8" x14ac:dyDescent="0.3">
      <c r="JK122" s="21"/>
      <c r="JL122" s="21"/>
      <c r="JM122" s="20"/>
      <c r="JN122" s="35"/>
      <c r="JO122" s="35"/>
      <c r="JP122" s="35"/>
      <c r="JQ122" s="41"/>
      <c r="JR122" s="35"/>
      <c r="JS122" s="35"/>
      <c r="JT122" s="35"/>
      <c r="JU122" s="35"/>
      <c r="JV122" s="35"/>
      <c r="JW122" s="35"/>
    </row>
    <row r="123" spans="271:283" ht="13.8" x14ac:dyDescent="0.3">
      <c r="JK123" s="21"/>
      <c r="JL123" s="21"/>
      <c r="JM123" s="20"/>
      <c r="JN123" s="35"/>
      <c r="JO123" s="35"/>
      <c r="JP123" s="35"/>
      <c r="JQ123" s="41"/>
      <c r="JR123" s="35"/>
      <c r="JS123" s="35"/>
      <c r="JT123" s="35"/>
      <c r="JU123" s="35"/>
      <c r="JV123" s="35"/>
      <c r="JW123" s="35"/>
    </row>
    <row r="124" spans="271:283" ht="13.8" x14ac:dyDescent="0.3">
      <c r="JK124" s="21"/>
      <c r="JL124" s="21"/>
      <c r="JM124" s="20"/>
      <c r="JN124" s="35"/>
      <c r="JO124" s="35"/>
      <c r="JP124" s="35"/>
      <c r="JQ124" s="41"/>
      <c r="JR124" s="35"/>
      <c r="JS124" s="35"/>
      <c r="JT124" s="35"/>
      <c r="JU124" s="35"/>
      <c r="JV124" s="35"/>
      <c r="JW124" s="35"/>
    </row>
    <row r="125" spans="271:283" ht="13.8" x14ac:dyDescent="0.3">
      <c r="JK125" s="21"/>
      <c r="JL125" s="21"/>
      <c r="JM125" s="20"/>
      <c r="JN125" s="35"/>
      <c r="JO125" s="35"/>
      <c r="JP125" s="35"/>
      <c r="JQ125" s="41"/>
      <c r="JR125" s="35"/>
      <c r="JS125" s="35"/>
      <c r="JT125" s="35"/>
      <c r="JU125" s="35"/>
      <c r="JV125" s="35"/>
      <c r="JW125" s="35"/>
    </row>
    <row r="126" spans="271:283" ht="13.8" x14ac:dyDescent="0.3">
      <c r="JK126" s="21"/>
      <c r="JL126" s="21"/>
      <c r="JM126" s="20"/>
      <c r="JN126" s="35"/>
      <c r="JO126" s="35"/>
      <c r="JP126" s="35"/>
      <c r="JQ126" s="41"/>
      <c r="JR126" s="35"/>
      <c r="JS126" s="35"/>
      <c r="JT126" s="35"/>
      <c r="JU126" s="35"/>
      <c r="JV126" s="35"/>
      <c r="JW126" s="35"/>
    </row>
    <row r="127" spans="271:283" ht="13.8" x14ac:dyDescent="0.3">
      <c r="JK127" s="21"/>
      <c r="JL127" s="21"/>
      <c r="JM127" s="20"/>
      <c r="JN127" s="35"/>
      <c r="JO127" s="35"/>
      <c r="JP127" s="35"/>
      <c r="JQ127" s="41"/>
      <c r="JR127" s="35"/>
      <c r="JS127" s="35"/>
      <c r="JT127" s="35"/>
      <c r="JU127" s="35"/>
      <c r="JV127" s="35"/>
      <c r="JW127" s="35"/>
    </row>
    <row r="128" spans="271:283" ht="13.8" x14ac:dyDescent="0.3">
      <c r="JK128" s="21"/>
      <c r="JL128" s="21"/>
      <c r="JM128" s="20"/>
      <c r="JN128" s="35"/>
      <c r="JO128" s="35"/>
      <c r="JP128" s="35"/>
      <c r="JQ128" s="41"/>
      <c r="JR128" s="35"/>
      <c r="JS128" s="35"/>
      <c r="JT128" s="35"/>
      <c r="JU128" s="35"/>
      <c r="JV128" s="35"/>
      <c r="JW128" s="35"/>
    </row>
    <row r="129" spans="271:283" ht="13.8" x14ac:dyDescent="0.3">
      <c r="JK129" s="21"/>
      <c r="JL129" s="21"/>
      <c r="JM129" s="20"/>
      <c r="JN129" s="35"/>
      <c r="JO129" s="35"/>
      <c r="JP129" s="35"/>
      <c r="JQ129" s="41"/>
      <c r="JR129" s="35"/>
      <c r="JS129" s="35"/>
      <c r="JT129" s="35"/>
      <c r="JU129" s="35"/>
      <c r="JV129" s="35"/>
      <c r="JW129" s="35"/>
    </row>
    <row r="130" spans="271:283" ht="13.8" x14ac:dyDescent="0.3">
      <c r="JK130" s="21"/>
      <c r="JL130" s="21"/>
      <c r="JM130" s="20"/>
      <c r="JN130" s="35"/>
      <c r="JO130" s="35"/>
      <c r="JP130" s="35"/>
      <c r="JQ130" s="41"/>
      <c r="JR130" s="35"/>
      <c r="JS130" s="35"/>
      <c r="JT130" s="35"/>
      <c r="JU130" s="35"/>
      <c r="JV130" s="35"/>
      <c r="JW130" s="35"/>
    </row>
    <row r="131" spans="271:283" ht="13.8" x14ac:dyDescent="0.3">
      <c r="JK131" s="21"/>
      <c r="JL131" s="21"/>
      <c r="JM131" s="20"/>
      <c r="JN131" s="35"/>
      <c r="JO131" s="35"/>
      <c r="JP131" s="35"/>
      <c r="JQ131" s="41"/>
      <c r="JR131" s="35"/>
      <c r="JS131" s="35"/>
      <c r="JT131" s="35"/>
      <c r="JU131" s="35"/>
      <c r="JV131" s="35"/>
      <c r="JW131" s="35"/>
    </row>
    <row r="132" spans="271:283" ht="13.8" x14ac:dyDescent="0.3">
      <c r="JK132" s="21"/>
      <c r="JL132" s="21"/>
      <c r="JM132" s="20"/>
      <c r="JN132" s="35"/>
      <c r="JO132" s="35"/>
      <c r="JP132" s="35"/>
      <c r="JQ132" s="41"/>
      <c r="JR132" s="35"/>
      <c r="JS132" s="35"/>
      <c r="JT132" s="35"/>
      <c r="JU132" s="35"/>
      <c r="JV132" s="35"/>
      <c r="JW132" s="35"/>
    </row>
    <row r="133" spans="271:283" ht="13.8" x14ac:dyDescent="0.3">
      <c r="JK133" s="21"/>
      <c r="JL133" s="21"/>
      <c r="JM133" s="20"/>
      <c r="JN133" s="35"/>
      <c r="JO133" s="35"/>
      <c r="JP133" s="35"/>
      <c r="JQ133" s="41"/>
      <c r="JR133" s="35"/>
      <c r="JS133" s="35"/>
      <c r="JT133" s="35"/>
      <c r="JU133" s="35"/>
      <c r="JV133" s="35"/>
      <c r="JW133" s="35"/>
    </row>
    <row r="134" spans="271:283" ht="13.8" x14ac:dyDescent="0.3">
      <c r="JK134" s="21"/>
      <c r="JL134" s="21"/>
      <c r="JM134" s="20"/>
      <c r="JN134" s="35"/>
      <c r="JO134" s="35"/>
      <c r="JP134" s="35"/>
      <c r="JQ134" s="41"/>
      <c r="JR134" s="35"/>
      <c r="JS134" s="35"/>
      <c r="JT134" s="35"/>
      <c r="JU134" s="35"/>
      <c r="JV134" s="35"/>
      <c r="JW134" s="35"/>
    </row>
    <row r="135" spans="271:283" ht="13.8" x14ac:dyDescent="0.3">
      <c r="JK135" s="21"/>
      <c r="JL135" s="21"/>
      <c r="JM135" s="20"/>
      <c r="JN135" s="35"/>
      <c r="JO135" s="35"/>
      <c r="JP135" s="35"/>
      <c r="JQ135" s="41"/>
      <c r="JR135" s="35"/>
      <c r="JS135" s="35"/>
      <c r="JT135" s="35"/>
      <c r="JU135" s="35"/>
      <c r="JV135" s="35"/>
      <c r="JW135" s="35"/>
    </row>
    <row r="136" spans="271:283" ht="13.8" x14ac:dyDescent="0.3">
      <c r="JK136" s="21"/>
      <c r="JL136" s="21"/>
      <c r="JM136" s="20"/>
      <c r="JN136" s="35"/>
      <c r="JO136" s="35"/>
      <c r="JP136" s="35"/>
      <c r="JQ136" s="41"/>
      <c r="JR136" s="35"/>
      <c r="JS136" s="35"/>
      <c r="JT136" s="35"/>
      <c r="JU136" s="35"/>
      <c r="JV136" s="35"/>
      <c r="JW136" s="35"/>
    </row>
    <row r="137" spans="271:283" ht="13.8" x14ac:dyDescent="0.3">
      <c r="JK137" s="21"/>
      <c r="JL137" s="21"/>
      <c r="JM137" s="20"/>
      <c r="JN137" s="35"/>
      <c r="JO137" s="35"/>
      <c r="JP137" s="35"/>
      <c r="JQ137" s="41"/>
      <c r="JR137" s="35"/>
      <c r="JS137" s="35"/>
      <c r="JT137" s="35"/>
      <c r="JU137" s="35"/>
      <c r="JV137" s="35"/>
      <c r="JW137" s="35"/>
    </row>
    <row r="138" spans="271:283" ht="13.8" x14ac:dyDescent="0.3">
      <c r="JK138" s="21"/>
      <c r="JL138" s="21"/>
      <c r="JM138" s="20"/>
      <c r="JN138" s="35"/>
      <c r="JO138" s="35"/>
      <c r="JP138" s="35"/>
      <c r="JQ138" s="41"/>
      <c r="JR138" s="35"/>
      <c r="JS138" s="35"/>
      <c r="JT138" s="35"/>
      <c r="JU138" s="35"/>
      <c r="JV138" s="35"/>
      <c r="JW138" s="35"/>
    </row>
    <row r="139" spans="271:283" ht="13.8" x14ac:dyDescent="0.3">
      <c r="JK139" s="21"/>
      <c r="JL139" s="21"/>
      <c r="JM139" s="20"/>
      <c r="JN139" s="35"/>
      <c r="JO139" s="35"/>
      <c r="JP139" s="35"/>
      <c r="JQ139" s="41"/>
      <c r="JR139" s="35"/>
      <c r="JS139" s="35"/>
      <c r="JT139" s="35"/>
      <c r="JU139" s="35"/>
      <c r="JV139" s="35"/>
      <c r="JW139" s="35"/>
    </row>
    <row r="140" spans="271:283" ht="13.8" x14ac:dyDescent="0.3">
      <c r="JK140" s="21"/>
      <c r="JL140" s="21"/>
      <c r="JM140" s="20"/>
      <c r="JN140" s="35"/>
      <c r="JO140" s="35"/>
      <c r="JP140" s="35"/>
      <c r="JQ140" s="41"/>
      <c r="JR140" s="35"/>
      <c r="JS140" s="35"/>
      <c r="JT140" s="35"/>
      <c r="JU140" s="35"/>
      <c r="JV140" s="35"/>
      <c r="JW140" s="35"/>
    </row>
    <row r="141" spans="271:283" ht="13.8" x14ac:dyDescent="0.3">
      <c r="JK141" s="21"/>
      <c r="JL141" s="21"/>
      <c r="JM141" s="20"/>
      <c r="JN141" s="35"/>
      <c r="JO141" s="35"/>
      <c r="JP141" s="35"/>
      <c r="JQ141" s="41"/>
      <c r="JR141" s="35"/>
      <c r="JS141" s="35"/>
      <c r="JT141" s="35"/>
      <c r="JU141" s="35"/>
      <c r="JV141" s="35"/>
      <c r="JW141" s="35"/>
    </row>
    <row r="142" spans="271:283" ht="13.8" x14ac:dyDescent="0.3">
      <c r="JK142" s="21"/>
      <c r="JL142" s="21"/>
      <c r="JM142" s="20"/>
      <c r="JN142" s="35"/>
      <c r="JO142" s="35"/>
      <c r="JP142" s="35"/>
      <c r="JQ142" s="41"/>
      <c r="JR142" s="35"/>
      <c r="JS142" s="35"/>
      <c r="JT142" s="35"/>
      <c r="JU142" s="35"/>
      <c r="JV142" s="35"/>
      <c r="JW142" s="35"/>
    </row>
    <row r="143" spans="271:283" ht="13.8" x14ac:dyDescent="0.3">
      <c r="JK143" s="21"/>
      <c r="JL143" s="21"/>
      <c r="JM143" s="20"/>
      <c r="JN143" s="35"/>
      <c r="JO143" s="35"/>
      <c r="JP143" s="35"/>
      <c r="JQ143" s="41"/>
      <c r="JR143" s="35"/>
      <c r="JS143" s="35"/>
      <c r="JT143" s="35"/>
      <c r="JU143" s="35"/>
      <c r="JV143" s="35"/>
      <c r="JW143" s="35"/>
    </row>
    <row r="144" spans="271:283" ht="13.8" x14ac:dyDescent="0.3">
      <c r="JK144" s="21"/>
      <c r="JL144" s="21"/>
      <c r="JM144" s="20"/>
      <c r="JN144" s="35"/>
      <c r="JO144" s="35"/>
      <c r="JP144" s="35"/>
      <c r="JQ144" s="41"/>
      <c r="JR144" s="35"/>
      <c r="JS144" s="35"/>
      <c r="JT144" s="35"/>
      <c r="JU144" s="35"/>
      <c r="JV144" s="35"/>
      <c r="JW144" s="35"/>
    </row>
    <row r="145" spans="271:283" ht="13.8" x14ac:dyDescent="0.3">
      <c r="JK145" s="21"/>
      <c r="JL145" s="21"/>
      <c r="JM145" s="20"/>
      <c r="JN145" s="35"/>
      <c r="JO145" s="35"/>
      <c r="JP145" s="35"/>
      <c r="JQ145" s="41"/>
      <c r="JR145" s="35"/>
      <c r="JS145" s="35"/>
      <c r="JT145" s="35"/>
      <c r="JU145" s="35"/>
      <c r="JV145" s="35"/>
      <c r="JW145" s="35"/>
    </row>
    <row r="146" spans="271:283" ht="13.8" x14ac:dyDescent="0.3">
      <c r="JK146" s="21"/>
      <c r="JL146" s="21"/>
      <c r="JM146" s="20"/>
      <c r="JN146" s="35"/>
      <c r="JO146" s="35"/>
      <c r="JP146" s="35"/>
      <c r="JQ146" s="41"/>
      <c r="JR146" s="35"/>
      <c r="JS146" s="35"/>
      <c r="JT146" s="35"/>
      <c r="JU146" s="35"/>
      <c r="JV146" s="35"/>
      <c r="JW146" s="35"/>
    </row>
    <row r="147" spans="271:283" ht="13.8" x14ac:dyDescent="0.3">
      <c r="JK147" s="21"/>
      <c r="JL147" s="21"/>
      <c r="JM147" s="20"/>
      <c r="JN147" s="35"/>
      <c r="JO147" s="35"/>
      <c r="JP147" s="35"/>
      <c r="JQ147" s="41"/>
      <c r="JR147" s="35"/>
      <c r="JS147" s="35"/>
      <c r="JT147" s="35"/>
      <c r="JU147" s="35"/>
      <c r="JV147" s="35"/>
      <c r="JW147" s="35"/>
    </row>
    <row r="148" spans="271:283" ht="13.8" x14ac:dyDescent="0.3">
      <c r="JK148" s="21"/>
      <c r="JL148" s="21"/>
      <c r="JM148" s="20"/>
      <c r="JN148" s="35"/>
      <c r="JO148" s="35"/>
      <c r="JP148" s="35"/>
      <c r="JQ148" s="41"/>
      <c r="JR148" s="35"/>
      <c r="JS148" s="35"/>
      <c r="JT148" s="35"/>
      <c r="JU148" s="35"/>
      <c r="JV148" s="35"/>
      <c r="JW148" s="35"/>
    </row>
    <row r="149" spans="271:283" ht="13.8" x14ac:dyDescent="0.3">
      <c r="JK149" s="21"/>
      <c r="JL149" s="21"/>
      <c r="JM149" s="20"/>
      <c r="JN149" s="35"/>
      <c r="JO149" s="35"/>
      <c r="JP149" s="35"/>
      <c r="JQ149" s="41"/>
      <c r="JR149" s="35"/>
      <c r="JS149" s="35"/>
      <c r="JT149" s="35"/>
      <c r="JU149" s="35"/>
      <c r="JV149" s="35"/>
      <c r="JW149" s="35"/>
    </row>
    <row r="150" spans="271:283" ht="13.8" x14ac:dyDescent="0.3">
      <c r="JK150" s="21"/>
      <c r="JL150" s="21"/>
      <c r="JM150" s="20"/>
      <c r="JN150" s="35"/>
      <c r="JO150" s="35"/>
      <c r="JP150" s="35"/>
      <c r="JQ150" s="41"/>
      <c r="JR150" s="35"/>
      <c r="JS150" s="35"/>
      <c r="JT150" s="35"/>
      <c r="JU150" s="35"/>
      <c r="JV150" s="35"/>
      <c r="JW150" s="35"/>
    </row>
    <row r="151" spans="271:283" ht="13.8" x14ac:dyDescent="0.3">
      <c r="JK151" s="21"/>
      <c r="JL151" s="21"/>
      <c r="JM151" s="20"/>
      <c r="JN151" s="35"/>
      <c r="JO151" s="35"/>
      <c r="JP151" s="35"/>
      <c r="JQ151" s="41"/>
      <c r="JR151" s="35"/>
      <c r="JS151" s="35"/>
      <c r="JT151" s="35"/>
      <c r="JU151" s="35"/>
      <c r="JV151" s="35"/>
      <c r="JW151" s="35"/>
    </row>
    <row r="152" spans="271:283" ht="13.8" x14ac:dyDescent="0.3">
      <c r="JK152" s="21"/>
      <c r="JL152" s="21"/>
      <c r="JM152" s="20"/>
      <c r="JN152" s="35"/>
      <c r="JO152" s="35"/>
      <c r="JP152" s="35"/>
      <c r="JQ152" s="41"/>
      <c r="JR152" s="35"/>
      <c r="JS152" s="35"/>
      <c r="JT152" s="35"/>
      <c r="JU152" s="35"/>
      <c r="JV152" s="35"/>
      <c r="JW152" s="35"/>
    </row>
    <row r="153" spans="271:283" ht="13.8" x14ac:dyDescent="0.3">
      <c r="JK153" s="21"/>
      <c r="JL153" s="21"/>
      <c r="JM153" s="20"/>
      <c r="JN153" s="35"/>
      <c r="JO153" s="35"/>
      <c r="JP153" s="35"/>
      <c r="JQ153" s="41"/>
      <c r="JR153" s="35"/>
      <c r="JS153" s="35"/>
      <c r="JT153" s="35"/>
      <c r="JU153" s="35"/>
      <c r="JV153" s="35"/>
      <c r="JW153" s="35"/>
    </row>
    <row r="154" spans="271:283" ht="13.8" x14ac:dyDescent="0.3">
      <c r="JK154" s="21"/>
      <c r="JL154" s="21"/>
      <c r="JM154" s="20"/>
      <c r="JN154" s="35"/>
      <c r="JO154" s="35"/>
      <c r="JP154" s="35"/>
      <c r="JQ154" s="41"/>
      <c r="JR154" s="35"/>
      <c r="JS154" s="35"/>
      <c r="JT154" s="35"/>
      <c r="JU154" s="35"/>
      <c r="JV154" s="35"/>
      <c r="JW154" s="35"/>
    </row>
    <row r="155" spans="271:283" ht="13.8" x14ac:dyDescent="0.3">
      <c r="JK155" s="21"/>
      <c r="JL155" s="21"/>
      <c r="JM155" s="20"/>
      <c r="JN155" s="35"/>
      <c r="JO155" s="35"/>
      <c r="JP155" s="35"/>
      <c r="JQ155" s="41"/>
      <c r="JR155" s="35"/>
      <c r="JS155" s="35"/>
      <c r="JT155" s="35"/>
      <c r="JU155" s="35"/>
      <c r="JV155" s="35"/>
      <c r="JW155" s="35"/>
    </row>
    <row r="156" spans="271:283" ht="13.8" x14ac:dyDescent="0.3">
      <c r="JK156" s="21"/>
      <c r="JL156" s="21"/>
      <c r="JM156" s="20"/>
      <c r="JN156" s="35"/>
      <c r="JO156" s="35"/>
      <c r="JP156" s="35"/>
      <c r="JQ156" s="41"/>
      <c r="JR156" s="35"/>
      <c r="JS156" s="35"/>
      <c r="JT156" s="35"/>
      <c r="JU156" s="35"/>
      <c r="JV156" s="35"/>
      <c r="JW156" s="35"/>
    </row>
    <row r="157" spans="271:283" ht="13.8" x14ac:dyDescent="0.3">
      <c r="JK157" s="21"/>
      <c r="JL157" s="21"/>
      <c r="JM157" s="20"/>
      <c r="JN157" s="35"/>
      <c r="JO157" s="35"/>
      <c r="JP157" s="35"/>
      <c r="JQ157" s="41"/>
      <c r="JR157" s="35"/>
      <c r="JS157" s="35"/>
      <c r="JT157" s="35"/>
      <c r="JU157" s="35"/>
      <c r="JV157" s="35"/>
      <c r="JW157" s="35"/>
    </row>
    <row r="158" spans="271:283" ht="13.8" x14ac:dyDescent="0.3">
      <c r="JK158" s="21"/>
      <c r="JL158" s="21"/>
      <c r="JM158" s="20"/>
      <c r="JN158" s="35"/>
      <c r="JO158" s="35"/>
      <c r="JP158" s="35"/>
      <c r="JQ158" s="41"/>
      <c r="JR158" s="35"/>
      <c r="JS158" s="35"/>
      <c r="JT158" s="35"/>
      <c r="JU158" s="35"/>
      <c r="JV158" s="35"/>
      <c r="JW158" s="35"/>
    </row>
    <row r="159" spans="271:283" ht="13.8" x14ac:dyDescent="0.3">
      <c r="JK159" s="21"/>
      <c r="JL159" s="21"/>
      <c r="JM159" s="20"/>
      <c r="JN159" s="35"/>
      <c r="JO159" s="35"/>
      <c r="JP159" s="35"/>
      <c r="JQ159" s="41"/>
      <c r="JR159" s="35"/>
      <c r="JS159" s="35"/>
      <c r="JT159" s="35"/>
      <c r="JU159" s="35"/>
      <c r="JV159" s="35"/>
      <c r="JW159" s="35"/>
    </row>
    <row r="160" spans="271:283" ht="13.8" x14ac:dyDescent="0.3">
      <c r="JK160" s="21"/>
      <c r="JL160" s="21"/>
      <c r="JM160" s="20"/>
      <c r="JN160" s="35"/>
      <c r="JO160" s="35"/>
      <c r="JP160" s="35"/>
      <c r="JQ160" s="41"/>
      <c r="JR160" s="35"/>
      <c r="JS160" s="35"/>
      <c r="JT160" s="35"/>
      <c r="JU160" s="35"/>
      <c r="JV160" s="35"/>
      <c r="JW160" s="35"/>
    </row>
    <row r="161" spans="271:283" ht="13.8" x14ac:dyDescent="0.3">
      <c r="JK161" s="21"/>
      <c r="JL161" s="21"/>
      <c r="JM161" s="20"/>
      <c r="JN161" s="35"/>
      <c r="JO161" s="35"/>
      <c r="JP161" s="35"/>
      <c r="JQ161" s="41"/>
      <c r="JR161" s="35"/>
      <c r="JS161" s="35"/>
      <c r="JT161" s="35"/>
      <c r="JU161" s="35"/>
      <c r="JV161" s="35"/>
      <c r="JW161" s="35"/>
    </row>
    <row r="162" spans="271:283" ht="13.8" x14ac:dyDescent="0.3">
      <c r="JK162" s="21"/>
      <c r="JL162" s="21"/>
      <c r="JM162" s="20"/>
      <c r="JN162" s="35"/>
      <c r="JO162" s="35"/>
      <c r="JP162" s="35"/>
      <c r="JQ162" s="41"/>
      <c r="JR162" s="35"/>
      <c r="JS162" s="35"/>
      <c r="JT162" s="35"/>
      <c r="JU162" s="35"/>
      <c r="JV162" s="35"/>
      <c r="JW162" s="35"/>
    </row>
    <row r="163" spans="271:283" ht="13.8" x14ac:dyDescent="0.3">
      <c r="JK163" s="21"/>
      <c r="JL163" s="21"/>
      <c r="JM163" s="20"/>
      <c r="JN163" s="35"/>
      <c r="JO163" s="35"/>
      <c r="JP163" s="35"/>
      <c r="JQ163" s="41"/>
      <c r="JR163" s="35"/>
      <c r="JS163" s="35"/>
      <c r="JT163" s="35"/>
      <c r="JU163" s="35"/>
      <c r="JV163" s="35"/>
      <c r="JW163" s="35"/>
    </row>
    <row r="164" spans="271:283" ht="13.8" x14ac:dyDescent="0.3">
      <c r="JK164" s="21"/>
      <c r="JL164" s="21"/>
      <c r="JM164" s="20"/>
      <c r="JN164" s="35"/>
      <c r="JO164" s="35"/>
      <c r="JP164" s="35"/>
      <c r="JQ164" s="41"/>
      <c r="JR164" s="35"/>
      <c r="JS164" s="35"/>
      <c r="JT164" s="35"/>
      <c r="JU164" s="35"/>
      <c r="JV164" s="35"/>
      <c r="JW164" s="35"/>
    </row>
    <row r="165" spans="271:283" ht="13.8" x14ac:dyDescent="0.3">
      <c r="JK165" s="21"/>
      <c r="JL165" s="21"/>
      <c r="JM165" s="20"/>
      <c r="JN165" s="35"/>
      <c r="JO165" s="35"/>
      <c r="JP165" s="35"/>
      <c r="JQ165" s="41"/>
      <c r="JR165" s="35"/>
      <c r="JS165" s="35"/>
      <c r="JT165" s="35"/>
      <c r="JU165" s="35"/>
      <c r="JV165" s="35"/>
      <c r="JW165" s="35"/>
    </row>
    <row r="166" spans="271:283" ht="13.8" x14ac:dyDescent="0.3">
      <c r="JK166" s="21"/>
      <c r="JL166" s="21"/>
      <c r="JM166" s="20"/>
      <c r="JN166" s="35"/>
      <c r="JO166" s="35"/>
      <c r="JP166" s="35"/>
      <c r="JQ166" s="41"/>
      <c r="JR166" s="35"/>
      <c r="JS166" s="35"/>
      <c r="JT166" s="35"/>
      <c r="JU166" s="35"/>
      <c r="JV166" s="35"/>
      <c r="JW166" s="35"/>
    </row>
    <row r="167" spans="271:283" ht="13.8" x14ac:dyDescent="0.3">
      <c r="JK167" s="21"/>
      <c r="JL167" s="21"/>
      <c r="JM167" s="20"/>
      <c r="JN167" s="35"/>
      <c r="JO167" s="35"/>
      <c r="JP167" s="35"/>
      <c r="JQ167" s="41"/>
      <c r="JR167" s="35"/>
      <c r="JS167" s="35"/>
      <c r="JT167" s="35"/>
      <c r="JU167" s="35"/>
      <c r="JV167" s="35"/>
      <c r="JW167" s="35"/>
    </row>
    <row r="168" spans="271:283" ht="13.8" x14ac:dyDescent="0.3">
      <c r="JK168" s="21"/>
      <c r="JL168" s="21"/>
      <c r="JM168" s="20"/>
      <c r="JN168" s="35"/>
      <c r="JO168" s="35"/>
      <c r="JP168" s="35"/>
      <c r="JQ168" s="41"/>
      <c r="JR168" s="35"/>
      <c r="JS168" s="35"/>
      <c r="JT168" s="35"/>
      <c r="JU168" s="35"/>
      <c r="JV168" s="35"/>
      <c r="JW168" s="35"/>
    </row>
    <row r="169" spans="271:283" ht="13.8" x14ac:dyDescent="0.3">
      <c r="JK169" s="21"/>
      <c r="JL169" s="21"/>
      <c r="JM169" s="20"/>
      <c r="JN169" s="35"/>
      <c r="JO169" s="35"/>
      <c r="JP169" s="35"/>
      <c r="JQ169" s="41"/>
      <c r="JR169" s="35"/>
      <c r="JS169" s="35"/>
      <c r="JT169" s="35"/>
      <c r="JU169" s="35"/>
      <c r="JV169" s="35"/>
      <c r="JW169" s="35"/>
    </row>
    <row r="170" spans="271:283" ht="13.8" x14ac:dyDescent="0.3">
      <c r="JK170" s="21"/>
      <c r="JL170" s="21"/>
      <c r="JM170" s="20"/>
      <c r="JN170" s="35"/>
      <c r="JO170" s="35"/>
      <c r="JP170" s="35"/>
      <c r="JQ170" s="41"/>
      <c r="JR170" s="35"/>
      <c r="JS170" s="35"/>
      <c r="JT170" s="21"/>
      <c r="JU170" s="20"/>
      <c r="JV170" s="35"/>
      <c r="JW170" s="35"/>
    </row>
    <row r="171" spans="271:283" ht="13.8" x14ac:dyDescent="0.3">
      <c r="JK171" s="21"/>
      <c r="JL171" s="21"/>
      <c r="JM171" s="20"/>
      <c r="JN171" s="35"/>
      <c r="JO171" s="35"/>
      <c r="JP171" s="35"/>
      <c r="JQ171" s="41"/>
      <c r="JR171" s="35"/>
      <c r="JS171" s="35"/>
      <c r="JT171" s="35"/>
      <c r="JU171" s="35"/>
      <c r="JV171" s="35"/>
      <c r="JW171" s="35"/>
    </row>
    <row r="172" spans="271:283" ht="13.8" x14ac:dyDescent="0.3">
      <c r="JK172" s="21"/>
      <c r="JL172" s="21"/>
      <c r="JM172" s="20"/>
      <c r="JN172" s="35"/>
      <c r="JO172" s="35"/>
      <c r="JP172" s="35"/>
      <c r="JQ172" s="41"/>
      <c r="JR172" s="35"/>
      <c r="JS172" s="35"/>
      <c r="JT172" s="35"/>
      <c r="JU172" s="35"/>
      <c r="JV172" s="35"/>
      <c r="JW172" s="35"/>
    </row>
    <row r="173" spans="271:283" ht="13.8" x14ac:dyDescent="0.3">
      <c r="JK173" s="21"/>
      <c r="JL173" s="21"/>
      <c r="JM173" s="20"/>
      <c r="JN173" s="35"/>
      <c r="JO173" s="35"/>
      <c r="JP173" s="35"/>
      <c r="JQ173" s="41"/>
      <c r="JR173" s="35"/>
      <c r="JS173" s="35"/>
      <c r="JT173" s="35"/>
      <c r="JU173" s="35"/>
      <c r="JV173" s="35"/>
      <c r="JW173" s="35"/>
    </row>
    <row r="174" spans="271:283" ht="13.8" x14ac:dyDescent="0.3">
      <c r="JK174" s="21"/>
      <c r="JL174" s="21"/>
      <c r="JM174" s="20"/>
      <c r="JN174" s="35"/>
      <c r="JO174" s="35"/>
      <c r="JP174" s="35"/>
      <c r="JQ174" s="41"/>
      <c r="JR174" s="35"/>
      <c r="JS174" s="35"/>
      <c r="JT174" s="35"/>
      <c r="JU174" s="35"/>
      <c r="JV174" s="35"/>
      <c r="JW174" s="35"/>
    </row>
    <row r="175" spans="271:283" ht="13.8" x14ac:dyDescent="0.3">
      <c r="JK175" s="21"/>
      <c r="JL175" s="21"/>
      <c r="JM175" s="20"/>
      <c r="JN175" s="35"/>
      <c r="JO175" s="35"/>
      <c r="JP175" s="35"/>
      <c r="JQ175" s="41"/>
      <c r="JR175" s="35"/>
      <c r="JS175" s="35"/>
      <c r="JT175" s="35"/>
      <c r="JU175" s="35"/>
      <c r="JV175" s="35"/>
      <c r="JW175" s="35"/>
    </row>
    <row r="176" spans="271:283" ht="13.8" x14ac:dyDescent="0.3">
      <c r="JK176" s="21"/>
      <c r="JL176" s="21"/>
      <c r="JM176" s="20"/>
      <c r="JN176" s="35"/>
      <c r="JO176" s="35"/>
      <c r="JP176" s="35"/>
      <c r="JQ176" s="41"/>
      <c r="JR176" s="35"/>
      <c r="JS176" s="35"/>
      <c r="JT176" s="35"/>
      <c r="JU176" s="35"/>
      <c r="JV176" s="35"/>
      <c r="JW176" s="35"/>
    </row>
    <row r="177" spans="271:283" ht="13.8" x14ac:dyDescent="0.3">
      <c r="JK177" s="21"/>
      <c r="JL177" s="21"/>
      <c r="JM177" s="20"/>
      <c r="JN177" s="35"/>
      <c r="JO177" s="35"/>
      <c r="JP177" s="35"/>
      <c r="JQ177" s="41"/>
      <c r="JR177" s="35"/>
      <c r="JS177" s="35"/>
      <c r="JT177" s="35"/>
      <c r="JU177" s="35"/>
      <c r="JV177" s="35"/>
      <c r="JW177" s="35"/>
    </row>
    <row r="178" spans="271:283" ht="13.8" x14ac:dyDescent="0.3">
      <c r="JK178" s="21"/>
      <c r="JL178" s="21"/>
      <c r="JM178" s="20"/>
      <c r="JN178" s="35"/>
      <c r="JO178" s="35"/>
      <c r="JP178" s="35"/>
      <c r="JQ178" s="41"/>
      <c r="JR178" s="35"/>
      <c r="JS178" s="35"/>
      <c r="JT178" s="35"/>
      <c r="JU178" s="35"/>
      <c r="JV178" s="35"/>
      <c r="JW178" s="35"/>
    </row>
    <row r="179" spans="271:283" ht="13.8" x14ac:dyDescent="0.3">
      <c r="JK179" s="21"/>
      <c r="JL179" s="21"/>
      <c r="JM179" s="20"/>
      <c r="JN179" s="35"/>
      <c r="JO179" s="35"/>
      <c r="JP179" s="35"/>
      <c r="JQ179" s="41"/>
      <c r="JR179" s="35"/>
      <c r="JS179" s="35"/>
      <c r="JT179" s="35"/>
      <c r="JU179" s="35"/>
      <c r="JV179" s="35"/>
      <c r="JW179" s="35"/>
    </row>
    <row r="180" spans="271:283" ht="13.8" x14ac:dyDescent="0.3">
      <c r="JK180" s="21"/>
      <c r="JL180" s="21"/>
      <c r="JM180" s="20"/>
      <c r="JN180" s="35"/>
      <c r="JO180" s="35"/>
      <c r="JP180" s="35"/>
      <c r="JQ180" s="41"/>
      <c r="JR180" s="35"/>
      <c r="JS180" s="35"/>
      <c r="JT180" s="35"/>
      <c r="JU180" s="35"/>
      <c r="JV180" s="35"/>
      <c r="JW180" s="35"/>
    </row>
    <row r="181" spans="271:283" ht="13.8" x14ac:dyDescent="0.3">
      <c r="JK181" s="21"/>
      <c r="JL181" s="21"/>
      <c r="JM181" s="20"/>
      <c r="JN181" s="35"/>
      <c r="JO181" s="35"/>
      <c r="JP181" s="35"/>
      <c r="JQ181" s="41"/>
      <c r="JR181" s="35"/>
      <c r="JS181" s="35"/>
      <c r="JT181" s="35"/>
      <c r="JU181" s="35"/>
      <c r="JV181" s="35"/>
      <c r="JW181" s="35"/>
    </row>
    <row r="182" spans="271:283" ht="13.8" x14ac:dyDescent="0.3">
      <c r="JK182" s="21"/>
      <c r="JL182" s="21"/>
      <c r="JM182" s="20"/>
      <c r="JN182" s="35"/>
      <c r="JO182" s="35"/>
      <c r="JP182" s="35"/>
      <c r="JQ182" s="41"/>
      <c r="JR182" s="35"/>
      <c r="JS182" s="35"/>
      <c r="JT182" s="35"/>
      <c r="JU182" s="35"/>
      <c r="JV182" s="35"/>
      <c r="JW182" s="35"/>
    </row>
    <row r="183" spans="271:283" ht="13.8" x14ac:dyDescent="0.3">
      <c r="JK183" s="21"/>
      <c r="JL183" s="21"/>
      <c r="JM183" s="20"/>
      <c r="JN183" s="35"/>
      <c r="JO183" s="35"/>
      <c r="JP183" s="35"/>
      <c r="JQ183" s="41"/>
      <c r="JR183" s="35"/>
      <c r="JS183" s="35"/>
      <c r="JT183" s="35"/>
      <c r="JU183" s="35"/>
      <c r="JV183" s="35"/>
      <c r="JW183" s="35"/>
    </row>
    <row r="184" spans="271:283" ht="13.8" x14ac:dyDescent="0.3">
      <c r="JK184" s="21"/>
      <c r="JL184" s="21"/>
      <c r="JM184" s="20"/>
      <c r="JN184" s="35"/>
      <c r="JO184" s="35"/>
      <c r="JP184" s="35"/>
      <c r="JQ184" s="41"/>
      <c r="JR184" s="35"/>
      <c r="JS184" s="35"/>
      <c r="JT184" s="35"/>
      <c r="JU184" s="35"/>
      <c r="JV184" s="35"/>
      <c r="JW184" s="35"/>
    </row>
    <row r="185" spans="271:283" ht="13.8" x14ac:dyDescent="0.3">
      <c r="JK185" s="21"/>
      <c r="JL185" s="21"/>
      <c r="JM185" s="20"/>
      <c r="JN185" s="35"/>
      <c r="JO185" s="35"/>
      <c r="JP185" s="35"/>
      <c r="JQ185" s="41"/>
      <c r="JR185" s="35"/>
      <c r="JS185" s="35"/>
      <c r="JT185" s="35"/>
      <c r="JU185" s="35"/>
      <c r="JV185" s="35"/>
      <c r="JW185" s="35"/>
    </row>
    <row r="186" spans="271:283" ht="13.8" x14ac:dyDescent="0.3">
      <c r="JK186" s="21"/>
      <c r="JL186" s="21"/>
      <c r="JM186" s="20"/>
      <c r="JN186" s="35"/>
      <c r="JO186" s="35"/>
      <c r="JP186" s="35"/>
      <c r="JQ186" s="41"/>
      <c r="JR186" s="35"/>
      <c r="JS186" s="35"/>
      <c r="JT186" s="35"/>
      <c r="JU186" s="35"/>
      <c r="JV186" s="35"/>
      <c r="JW186" s="35"/>
    </row>
    <row r="187" spans="271:283" ht="13.8" x14ac:dyDescent="0.3">
      <c r="JK187" s="21"/>
      <c r="JL187" s="21"/>
      <c r="JM187" s="20"/>
      <c r="JN187" s="35"/>
      <c r="JO187" s="35"/>
      <c r="JP187" s="35"/>
      <c r="JQ187" s="41"/>
      <c r="JR187" s="35"/>
      <c r="JS187" s="35"/>
      <c r="JT187" s="35"/>
      <c r="JU187" s="35"/>
      <c r="JV187" s="35"/>
      <c r="JW187" s="35"/>
    </row>
    <row r="188" spans="271:283" ht="13.8" x14ac:dyDescent="0.3">
      <c r="JK188" s="21"/>
      <c r="JL188" s="21"/>
      <c r="JM188" s="20"/>
      <c r="JN188" s="35"/>
      <c r="JO188" s="35"/>
      <c r="JP188" s="35"/>
      <c r="JQ188" s="41"/>
      <c r="JR188" s="35"/>
      <c r="JS188" s="35"/>
      <c r="JT188" s="35"/>
      <c r="JU188" s="35"/>
      <c r="JV188" s="35"/>
      <c r="JW188" s="35"/>
    </row>
    <row r="189" spans="271:283" ht="13.8" x14ac:dyDescent="0.3">
      <c r="JK189" s="21"/>
      <c r="JL189" s="21"/>
      <c r="JM189" s="20"/>
      <c r="JN189" s="35"/>
      <c r="JO189" s="35"/>
      <c r="JP189" s="35"/>
      <c r="JQ189" s="41"/>
      <c r="JR189" s="35"/>
      <c r="JS189" s="35"/>
      <c r="JT189" s="35"/>
      <c r="JU189" s="35"/>
      <c r="JV189" s="35"/>
      <c r="JW189" s="35"/>
    </row>
    <row r="190" spans="271:283" ht="13.8" x14ac:dyDescent="0.3">
      <c r="JK190" s="21"/>
      <c r="JL190" s="21"/>
      <c r="JM190" s="20"/>
      <c r="JN190" s="35"/>
      <c r="JO190" s="35"/>
      <c r="JP190" s="35"/>
      <c r="JQ190" s="41"/>
      <c r="JR190" s="35"/>
      <c r="JS190" s="35"/>
      <c r="JT190" s="35"/>
      <c r="JU190" s="35"/>
      <c r="JV190" s="35"/>
      <c r="JW190" s="35"/>
    </row>
    <row r="191" spans="271:283" ht="13.8" x14ac:dyDescent="0.3">
      <c r="JK191" s="21"/>
      <c r="JL191" s="21"/>
      <c r="JM191" s="20"/>
      <c r="JN191" s="35"/>
      <c r="JO191" s="35"/>
      <c r="JP191" s="35"/>
      <c r="JQ191" s="41"/>
      <c r="JR191" s="35"/>
      <c r="JS191" s="35"/>
      <c r="JT191" s="35"/>
      <c r="JU191" s="35"/>
      <c r="JV191" s="35"/>
      <c r="JW191" s="35"/>
    </row>
    <row r="192" spans="271:283" ht="13.8" x14ac:dyDescent="0.3">
      <c r="JK192" s="21"/>
      <c r="JL192" s="21"/>
      <c r="JM192" s="20"/>
      <c r="JN192" s="35"/>
      <c r="JO192" s="35"/>
      <c r="JP192" s="35"/>
      <c r="JQ192" s="41"/>
      <c r="JR192" s="35"/>
      <c r="JS192" s="35"/>
      <c r="JT192" s="35"/>
      <c r="JU192" s="35"/>
      <c r="JV192" s="35"/>
      <c r="JW192" s="35"/>
    </row>
    <row r="193" spans="271:283" ht="13.8" x14ac:dyDescent="0.3">
      <c r="JK193" s="21"/>
      <c r="JL193" s="21"/>
      <c r="JM193" s="20"/>
      <c r="JN193" s="35"/>
      <c r="JO193" s="35"/>
      <c r="JP193" s="35"/>
      <c r="JQ193" s="41"/>
      <c r="JR193" s="35"/>
      <c r="JS193" s="35"/>
      <c r="JT193" s="35"/>
      <c r="JU193" s="35"/>
      <c r="JV193" s="35"/>
      <c r="JW193" s="35"/>
    </row>
    <row r="194" spans="271:283" ht="13.8" x14ac:dyDescent="0.3">
      <c r="JK194" s="21"/>
      <c r="JL194" s="21"/>
      <c r="JM194" s="20"/>
      <c r="JN194" s="35"/>
      <c r="JO194" s="35"/>
      <c r="JP194" s="35"/>
      <c r="JQ194" s="41"/>
      <c r="JR194" s="35"/>
      <c r="JS194" s="35"/>
      <c r="JT194" s="35"/>
      <c r="JU194" s="35"/>
      <c r="JV194" s="35"/>
      <c r="JW194" s="35"/>
    </row>
    <row r="195" spans="271:283" ht="13.8" x14ac:dyDescent="0.3">
      <c r="JK195" s="21"/>
      <c r="JL195" s="21"/>
      <c r="JM195" s="20"/>
      <c r="JN195" s="35"/>
      <c r="JO195" s="35"/>
      <c r="JP195" s="35"/>
      <c r="JQ195" s="41"/>
      <c r="JR195" s="35"/>
      <c r="JS195" s="35"/>
      <c r="JT195" s="35"/>
      <c r="JU195" s="35"/>
      <c r="JV195" s="35"/>
      <c r="JW195" s="35"/>
    </row>
    <row r="196" spans="271:283" ht="13.8" x14ac:dyDescent="0.3">
      <c r="JK196" s="21"/>
      <c r="JL196" s="21"/>
      <c r="JM196" s="20"/>
      <c r="JN196" s="35"/>
      <c r="JO196" s="35"/>
      <c r="JP196" s="35"/>
      <c r="JQ196" s="41"/>
      <c r="JR196" s="35"/>
      <c r="JS196" s="35"/>
      <c r="JT196" s="35"/>
      <c r="JU196" s="35"/>
      <c r="JV196" s="35"/>
      <c r="JW196" s="35"/>
    </row>
    <row r="197" spans="271:283" ht="13.8" x14ac:dyDescent="0.3">
      <c r="JK197" s="21"/>
      <c r="JL197" s="21"/>
      <c r="JM197" s="20"/>
      <c r="JN197" s="35"/>
      <c r="JO197" s="35"/>
      <c r="JP197" s="35"/>
      <c r="JQ197" s="41"/>
      <c r="JR197" s="35"/>
      <c r="JS197" s="35"/>
      <c r="JT197" s="35"/>
      <c r="JU197" s="35"/>
      <c r="JV197" s="35"/>
      <c r="JW197" s="35"/>
    </row>
    <row r="198" spans="271:283" ht="13.8" x14ac:dyDescent="0.3">
      <c r="JK198" s="21"/>
      <c r="JL198" s="21"/>
      <c r="JM198" s="20"/>
      <c r="JN198" s="35"/>
      <c r="JO198" s="35"/>
      <c r="JP198" s="35"/>
      <c r="JQ198" s="41"/>
      <c r="JR198" s="35"/>
      <c r="JS198" s="35"/>
      <c r="JT198" s="35"/>
      <c r="JU198" s="35"/>
      <c r="JV198" s="35"/>
      <c r="JW198" s="35"/>
    </row>
    <row r="199" spans="271:283" ht="13.8" x14ac:dyDescent="0.3">
      <c r="JK199" s="21"/>
      <c r="JL199" s="21"/>
      <c r="JM199" s="20"/>
      <c r="JN199" s="35"/>
      <c r="JO199" s="35"/>
      <c r="JP199" s="35"/>
      <c r="JQ199" s="41"/>
      <c r="JR199" s="35"/>
      <c r="JS199" s="35"/>
      <c r="JT199" s="35"/>
      <c r="JU199" s="35"/>
      <c r="JV199" s="35"/>
      <c r="JW199" s="35"/>
    </row>
    <row r="200" spans="271:283" ht="13.8" x14ac:dyDescent="0.3">
      <c r="JK200" s="21"/>
      <c r="JL200" s="21"/>
      <c r="JM200" s="20"/>
      <c r="JN200" s="35"/>
      <c r="JO200" s="35"/>
      <c r="JP200" s="35"/>
      <c r="JQ200" s="41"/>
      <c r="JR200" s="35"/>
      <c r="JS200" s="35"/>
      <c r="JT200" s="35"/>
      <c r="JU200" s="35"/>
      <c r="JV200" s="35"/>
      <c r="JW200" s="35"/>
    </row>
    <row r="201" spans="271:283" ht="13.8" x14ac:dyDescent="0.3">
      <c r="JK201" s="21"/>
      <c r="JL201" s="21"/>
      <c r="JM201" s="20"/>
      <c r="JN201" s="35"/>
      <c r="JO201" s="35"/>
      <c r="JP201" s="35"/>
      <c r="JQ201" s="41"/>
      <c r="JR201" s="35"/>
      <c r="JS201" s="35"/>
      <c r="JT201" s="35"/>
      <c r="JU201" s="35"/>
      <c r="JV201" s="35"/>
      <c r="JW201" s="35"/>
    </row>
    <row r="202" spans="271:283" ht="13.8" x14ac:dyDescent="0.3">
      <c r="JK202" s="21"/>
      <c r="JL202" s="21"/>
      <c r="JM202" s="20"/>
      <c r="JN202" s="35"/>
      <c r="JO202" s="35"/>
      <c r="JP202" s="35"/>
      <c r="JQ202" s="41"/>
      <c r="JR202" s="35"/>
      <c r="JS202" s="35"/>
      <c r="JT202" s="35"/>
      <c r="JU202" s="35"/>
      <c r="JV202" s="35"/>
      <c r="JW202" s="35"/>
    </row>
    <row r="203" spans="271:283" ht="13.8" x14ac:dyDescent="0.3">
      <c r="JK203" s="21"/>
      <c r="JL203" s="21"/>
      <c r="JM203" s="20"/>
      <c r="JN203" s="35"/>
      <c r="JO203" s="35"/>
      <c r="JP203" s="35"/>
      <c r="JQ203" s="41"/>
      <c r="JR203" s="35"/>
      <c r="JS203" s="35"/>
      <c r="JT203" s="35"/>
      <c r="JU203" s="35"/>
      <c r="JV203" s="35"/>
      <c r="JW203" s="35"/>
    </row>
    <row r="204" spans="271:283" ht="13.8" x14ac:dyDescent="0.3">
      <c r="JK204" s="21"/>
      <c r="JL204" s="21"/>
      <c r="JM204" s="20"/>
      <c r="JN204" s="35"/>
      <c r="JO204" s="35"/>
      <c r="JP204" s="35"/>
      <c r="JQ204" s="41"/>
      <c r="JR204" s="35"/>
      <c r="JS204" s="35"/>
      <c r="JT204" s="35"/>
      <c r="JU204" s="35"/>
      <c r="JV204" s="35"/>
      <c r="JW204" s="35"/>
    </row>
    <row r="205" spans="271:283" ht="13.8" x14ac:dyDescent="0.3">
      <c r="JK205" s="35"/>
      <c r="JL205" s="21"/>
      <c r="JM205" s="20"/>
      <c r="JN205" s="35"/>
      <c r="JO205" s="35"/>
      <c r="JP205" s="35"/>
      <c r="JQ205" s="35"/>
      <c r="JR205" s="35"/>
      <c r="JS205" s="35"/>
      <c r="JT205" s="35"/>
      <c r="JU205" s="35"/>
      <c r="JV205" s="35"/>
      <c r="JW205" s="35"/>
    </row>
    <row r="206" spans="271:283" ht="13.8" x14ac:dyDescent="0.3">
      <c r="JK206" s="20"/>
      <c r="JL206" s="21"/>
      <c r="JM206" s="20"/>
      <c r="JN206" s="35"/>
      <c r="JO206" s="35"/>
      <c r="JP206" s="35"/>
      <c r="JQ206" s="35"/>
      <c r="JR206" s="35"/>
      <c r="JS206" s="35"/>
      <c r="JT206" s="35"/>
      <c r="JU206" s="35"/>
      <c r="JV206" s="35"/>
      <c r="JW206" s="35"/>
    </row>
    <row r="207" spans="271:283" ht="13.8" x14ac:dyDescent="0.3">
      <c r="JK207" s="20"/>
      <c r="JL207" s="21"/>
      <c r="JM207" s="20"/>
      <c r="JN207" s="35"/>
      <c r="JO207" s="35"/>
      <c r="JP207" s="35"/>
      <c r="JQ207" s="35"/>
      <c r="JR207" s="35"/>
      <c r="JS207" s="35"/>
      <c r="JT207" s="35"/>
      <c r="JU207" s="35"/>
      <c r="JV207" s="35"/>
      <c r="JW207" s="35"/>
    </row>
    <row r="208" spans="271:283" ht="13.8" x14ac:dyDescent="0.3">
      <c r="JK208" s="20"/>
      <c r="JL208" s="21"/>
      <c r="JM208" s="20"/>
      <c r="JN208" s="35"/>
      <c r="JO208" s="35"/>
      <c r="JP208" s="35"/>
      <c r="JQ208" s="35"/>
      <c r="JR208" s="35"/>
      <c r="JS208" s="35"/>
      <c r="JT208" s="35"/>
      <c r="JU208" s="35"/>
      <c r="JV208" s="35"/>
      <c r="JW208" s="35"/>
    </row>
    <row r="209" spans="271:283" ht="13.8" x14ac:dyDescent="0.3">
      <c r="JK209" s="20"/>
      <c r="JL209" s="21"/>
      <c r="JM209" s="20"/>
      <c r="JN209" s="35"/>
      <c r="JO209" s="35"/>
      <c r="JP209" s="35"/>
      <c r="JQ209" s="35"/>
      <c r="JR209" s="35"/>
      <c r="JS209" s="35"/>
      <c r="JT209" s="35"/>
      <c r="JU209" s="35"/>
      <c r="JV209" s="35"/>
      <c r="JW209" s="35"/>
    </row>
    <row r="210" spans="271:283" ht="13.8" x14ac:dyDescent="0.3">
      <c r="JK210" s="20"/>
      <c r="JL210" s="21"/>
      <c r="JM210" s="20"/>
      <c r="JN210" s="35"/>
      <c r="JO210" s="35"/>
      <c r="JP210" s="35"/>
      <c r="JQ210" s="35"/>
      <c r="JR210" s="35"/>
      <c r="JS210" s="35"/>
      <c r="JT210" s="35"/>
      <c r="JU210" s="35"/>
      <c r="JV210" s="35"/>
      <c r="JW210" s="35"/>
    </row>
    <row r="211" spans="271:283" ht="13.8" x14ac:dyDescent="0.3">
      <c r="JK211" s="20"/>
      <c r="JL211" s="21"/>
      <c r="JM211" s="20"/>
      <c r="JN211" s="35"/>
      <c r="JO211" s="35"/>
      <c r="JP211" s="35"/>
      <c r="JQ211" s="35"/>
      <c r="JR211" s="35"/>
      <c r="JS211" s="35"/>
      <c r="JT211" s="35"/>
      <c r="JU211" s="35"/>
      <c r="JV211" s="35"/>
      <c r="JW211" s="35"/>
    </row>
    <row r="212" spans="271:283" ht="13.8" x14ac:dyDescent="0.3">
      <c r="JK212" s="20"/>
      <c r="JL212" s="21"/>
      <c r="JM212" s="20"/>
      <c r="JN212" s="35"/>
      <c r="JO212" s="35"/>
      <c r="JP212" s="35"/>
      <c r="JQ212" s="35"/>
      <c r="JR212" s="35"/>
      <c r="JS212" s="35"/>
      <c r="JT212" s="35"/>
      <c r="JU212" s="35"/>
      <c r="JV212" s="35"/>
      <c r="JW212" s="35"/>
    </row>
    <row r="213" spans="271:283" ht="13.8" x14ac:dyDescent="0.3">
      <c r="JK213" s="35"/>
      <c r="JL213" s="21"/>
      <c r="JM213" s="20"/>
      <c r="JN213" s="35"/>
      <c r="JO213" s="35"/>
      <c r="JP213" s="35"/>
      <c r="JQ213" s="35"/>
      <c r="JR213" s="35"/>
      <c r="JS213" s="35"/>
      <c r="JT213" s="35"/>
      <c r="JU213" s="35"/>
      <c r="JV213" s="35"/>
      <c r="JW213" s="35"/>
    </row>
    <row r="214" spans="271:283" x14ac:dyDescent="0.25">
      <c r="JK214" s="35"/>
      <c r="JL214" s="35"/>
      <c r="JM214" s="35"/>
      <c r="JN214" s="35"/>
      <c r="JO214" s="35"/>
      <c r="JP214" s="35"/>
      <c r="JQ214" s="35"/>
      <c r="JR214" s="35"/>
      <c r="JS214" s="35"/>
      <c r="JT214" s="35"/>
      <c r="JU214" s="35"/>
      <c r="JV214" s="35"/>
      <c r="JW214" s="35"/>
    </row>
    <row r="215" spans="271:283" x14ac:dyDescent="0.25">
      <c r="JK215" s="35"/>
      <c r="JL215" s="35"/>
      <c r="JM215" s="35"/>
      <c r="JN215" s="35"/>
      <c r="JO215" s="35"/>
      <c r="JP215" s="35"/>
      <c r="JQ215" s="35"/>
      <c r="JR215" s="35"/>
      <c r="JS215" s="35"/>
      <c r="JT215" s="35"/>
      <c r="JU215" s="35"/>
      <c r="JV215" s="35"/>
      <c r="JW215" s="35"/>
    </row>
    <row r="216" spans="271:283" x14ac:dyDescent="0.25">
      <c r="JK216" s="35"/>
      <c r="JL216" s="35"/>
      <c r="JM216" s="35"/>
      <c r="JN216" s="35"/>
      <c r="JO216" s="35"/>
      <c r="JP216" s="35"/>
      <c r="JQ216" s="35"/>
      <c r="JR216" s="35"/>
      <c r="JS216" s="35"/>
      <c r="JT216" s="35"/>
      <c r="JU216" s="35"/>
      <c r="JV216" s="35"/>
      <c r="JW216" s="35"/>
    </row>
    <row r="217" spans="271:283" x14ac:dyDescent="0.25">
      <c r="JK217" s="35"/>
      <c r="JL217" s="35"/>
      <c r="JM217" s="35"/>
      <c r="JN217" s="35"/>
      <c r="JO217" s="35"/>
      <c r="JP217" s="35"/>
      <c r="JQ217" s="35"/>
      <c r="JR217" s="35"/>
      <c r="JS217" s="35"/>
      <c r="JT217" s="35"/>
      <c r="JU217" s="35"/>
      <c r="JV217" s="35"/>
      <c r="JW217" s="35"/>
    </row>
    <row r="218" spans="271:283" x14ac:dyDescent="0.25">
      <c r="JK218" s="35"/>
      <c r="JL218" s="35"/>
      <c r="JM218" s="35"/>
      <c r="JN218" s="35"/>
      <c r="JO218" s="35"/>
      <c r="JP218" s="35"/>
      <c r="JQ218" s="35"/>
      <c r="JR218" s="35"/>
      <c r="JS218" s="35"/>
      <c r="JT218" s="35"/>
      <c r="JU218" s="35"/>
      <c r="JV218" s="35"/>
      <c r="JW218" s="35"/>
    </row>
    <row r="219" spans="271:283" x14ac:dyDescent="0.25">
      <c r="JK219" s="35"/>
      <c r="JL219" s="35"/>
      <c r="JM219" s="35"/>
      <c r="JN219" s="35"/>
      <c r="JO219" s="35"/>
      <c r="JP219" s="35"/>
      <c r="JQ219" s="35"/>
      <c r="JR219" s="35"/>
      <c r="JS219" s="35"/>
      <c r="JT219" s="35"/>
      <c r="JU219" s="35"/>
      <c r="JV219" s="35"/>
      <c r="JW219" s="35"/>
    </row>
    <row r="220" spans="271:283" x14ac:dyDescent="0.25">
      <c r="JK220" s="35"/>
      <c r="JL220" s="35"/>
      <c r="JM220" s="35"/>
      <c r="JN220" s="35"/>
      <c r="JO220" s="35"/>
      <c r="JP220" s="35"/>
      <c r="JQ220" s="35"/>
      <c r="JR220" s="35"/>
      <c r="JS220" s="35"/>
      <c r="JT220" s="35"/>
      <c r="JU220" s="35"/>
      <c r="JV220" s="35"/>
      <c r="JW220" s="35"/>
    </row>
    <row r="221" spans="271:283" x14ac:dyDescent="0.25">
      <c r="JK221" s="35"/>
      <c r="JL221" s="35"/>
      <c r="JM221" s="35"/>
      <c r="JN221" s="35"/>
      <c r="JO221" s="35"/>
      <c r="JP221" s="35"/>
      <c r="JQ221" s="35"/>
      <c r="JR221" s="35"/>
      <c r="JS221" s="35"/>
      <c r="JT221" s="35"/>
      <c r="JU221" s="35"/>
      <c r="JV221" s="35"/>
      <c r="JW221" s="35"/>
    </row>
    <row r="222" spans="271:283" x14ac:dyDescent="0.25">
      <c r="JK222" s="35"/>
      <c r="JL222" s="35"/>
      <c r="JM222" s="35"/>
      <c r="JN222" s="35"/>
      <c r="JO222" s="35"/>
      <c r="JP222" s="35"/>
      <c r="JQ222" s="35"/>
      <c r="JR222" s="35"/>
      <c r="JS222" s="35"/>
      <c r="JT222" s="35"/>
      <c r="JU222" s="35"/>
      <c r="JV222" s="35"/>
      <c r="JW222" s="35"/>
    </row>
    <row r="223" spans="271:283" x14ac:dyDescent="0.25">
      <c r="JK223" s="35"/>
      <c r="JL223" s="35"/>
      <c r="JM223" s="35"/>
      <c r="JN223" s="35"/>
      <c r="JO223" s="35"/>
      <c r="JP223" s="35"/>
      <c r="JQ223" s="35"/>
      <c r="JR223" s="35"/>
      <c r="JS223" s="35"/>
      <c r="JT223" s="35"/>
      <c r="JU223" s="35"/>
      <c r="JV223" s="35"/>
      <c r="JW223" s="35"/>
    </row>
    <row r="224" spans="271:283" x14ac:dyDescent="0.25">
      <c r="JK224" s="35"/>
      <c r="JL224" s="35"/>
      <c r="JM224" s="35"/>
      <c r="JN224" s="35"/>
      <c r="JO224" s="35"/>
      <c r="JP224" s="35"/>
      <c r="JQ224" s="35"/>
      <c r="JR224" s="35"/>
      <c r="JS224" s="35"/>
      <c r="JT224" s="35"/>
      <c r="JU224" s="35"/>
      <c r="JV224" s="35"/>
      <c r="JW224" s="35"/>
    </row>
    <row r="225" spans="271:283" x14ac:dyDescent="0.25">
      <c r="JK225" s="35"/>
      <c r="JL225" s="35"/>
      <c r="JM225" s="35"/>
      <c r="JN225" s="35"/>
      <c r="JO225" s="35"/>
      <c r="JP225" s="35"/>
      <c r="JQ225" s="35"/>
      <c r="JR225" s="35"/>
      <c r="JS225" s="35"/>
      <c r="JT225" s="35"/>
      <c r="JU225" s="35"/>
      <c r="JV225" s="35"/>
      <c r="JW225" s="35"/>
    </row>
    <row r="226" spans="271:283" x14ac:dyDescent="0.25">
      <c r="JK226" s="35"/>
      <c r="JL226" s="35"/>
      <c r="JM226" s="35"/>
      <c r="JN226" s="35"/>
      <c r="JO226" s="35"/>
      <c r="JP226" s="35"/>
      <c r="JQ226" s="35"/>
      <c r="JR226" s="35"/>
      <c r="JS226" s="35"/>
      <c r="JT226" s="35"/>
      <c r="JU226" s="35"/>
      <c r="JV226" s="35"/>
      <c r="JW226" s="35"/>
    </row>
    <row r="227" spans="271:283" x14ac:dyDescent="0.25">
      <c r="JK227" s="35"/>
      <c r="JL227" s="35"/>
      <c r="JM227" s="35"/>
      <c r="JN227" s="35"/>
      <c r="JO227" s="35"/>
      <c r="JP227" s="35"/>
      <c r="JQ227" s="35"/>
      <c r="JR227" s="35"/>
      <c r="JS227" s="35"/>
      <c r="JT227" s="35"/>
      <c r="JU227" s="35"/>
      <c r="JV227" s="35"/>
      <c r="JW227" s="35"/>
    </row>
    <row r="228" spans="271:283" x14ac:dyDescent="0.25">
      <c r="JK228" s="35"/>
      <c r="JL228" s="35"/>
      <c r="JM228" s="35"/>
      <c r="JN228" s="35"/>
      <c r="JO228" s="35"/>
      <c r="JP228" s="35"/>
      <c r="JQ228" s="35"/>
      <c r="JR228" s="35"/>
      <c r="JS228" s="35"/>
      <c r="JT228" s="35"/>
      <c r="JU228" s="35"/>
      <c r="JV228" s="35"/>
      <c r="JW228" s="35"/>
    </row>
    <row r="229" spans="271:283" x14ac:dyDescent="0.25">
      <c r="JK229" s="35"/>
      <c r="JL229" s="35"/>
      <c r="JM229" s="35"/>
      <c r="JN229" s="35"/>
      <c r="JO229" s="35"/>
      <c r="JP229" s="35"/>
      <c r="JQ229" s="35"/>
      <c r="JR229" s="35"/>
      <c r="JS229" s="35"/>
      <c r="JT229" s="35"/>
      <c r="JU229" s="35"/>
      <c r="JV229" s="35"/>
      <c r="JW229" s="35"/>
    </row>
    <row r="230" spans="271:283" x14ac:dyDescent="0.25">
      <c r="JK230" s="35"/>
      <c r="JL230" s="35"/>
      <c r="JM230" s="35"/>
      <c r="JN230" s="35"/>
      <c r="JO230" s="35"/>
      <c r="JP230" s="35"/>
      <c r="JQ230" s="35"/>
      <c r="JR230" s="35"/>
      <c r="JS230" s="35"/>
      <c r="JT230" s="35"/>
      <c r="JU230" s="35"/>
      <c r="JV230" s="35"/>
      <c r="JW230" s="35"/>
    </row>
    <row r="231" spans="271:283" x14ac:dyDescent="0.25">
      <c r="JK231" s="35"/>
      <c r="JL231" s="35"/>
      <c r="JM231" s="35"/>
      <c r="JN231" s="35"/>
      <c r="JO231" s="35"/>
      <c r="JP231" s="35"/>
      <c r="JQ231" s="35"/>
      <c r="JR231" s="35"/>
      <c r="JS231" s="35"/>
      <c r="JT231" s="35"/>
      <c r="JU231" s="35"/>
      <c r="JV231" s="35"/>
      <c r="JW231" s="35"/>
    </row>
    <row r="232" spans="271:283" x14ac:dyDescent="0.25">
      <c r="JK232" s="35"/>
      <c r="JL232" s="35"/>
      <c r="JM232" s="35"/>
      <c r="JN232" s="35"/>
      <c r="JO232" s="35"/>
      <c r="JP232" s="35"/>
      <c r="JQ232" s="35"/>
      <c r="JR232" s="35"/>
      <c r="JS232" s="35"/>
      <c r="JT232" s="35"/>
      <c r="JU232" s="35"/>
      <c r="JV232" s="35"/>
      <c r="JW232" s="35"/>
    </row>
    <row r="233" spans="271:283" x14ac:dyDescent="0.25">
      <c r="JK233" s="35"/>
      <c r="JL233" s="35"/>
      <c r="JM233" s="35"/>
      <c r="JN233" s="35"/>
      <c r="JO233" s="35"/>
      <c r="JP233" s="35"/>
      <c r="JQ233" s="35"/>
      <c r="JR233" s="35"/>
      <c r="JS233" s="35"/>
      <c r="JT233" s="35"/>
      <c r="JU233" s="35"/>
      <c r="JV233" s="35"/>
      <c r="JW233" s="35"/>
    </row>
    <row r="234" spans="271:283" x14ac:dyDescent="0.25">
      <c r="JK234" s="35"/>
      <c r="JL234" s="35"/>
      <c r="JM234" s="35"/>
      <c r="JN234" s="35"/>
      <c r="JO234" s="35"/>
      <c r="JP234" s="35"/>
      <c r="JQ234" s="35"/>
      <c r="JR234" s="35"/>
      <c r="JS234" s="35"/>
      <c r="JT234" s="35"/>
      <c r="JU234" s="35"/>
      <c r="JV234" s="35"/>
      <c r="JW234" s="35"/>
    </row>
    <row r="235" spans="271:283" x14ac:dyDescent="0.25">
      <c r="JK235" s="35"/>
      <c r="JL235" s="35"/>
      <c r="JM235" s="35"/>
      <c r="JN235" s="35"/>
      <c r="JO235" s="35"/>
      <c r="JP235" s="35"/>
      <c r="JQ235" s="35"/>
      <c r="JR235" s="35"/>
      <c r="JS235" s="35"/>
      <c r="JT235" s="35"/>
      <c r="JU235" s="35"/>
      <c r="JV235" s="35"/>
      <c r="JW235" s="35"/>
    </row>
    <row r="236" spans="271:283" x14ac:dyDescent="0.25">
      <c r="JK236" s="35"/>
      <c r="JL236" s="35"/>
      <c r="JM236" s="35"/>
      <c r="JN236" s="35"/>
      <c r="JO236" s="35"/>
      <c r="JP236" s="35"/>
      <c r="JQ236" s="35"/>
      <c r="JR236" s="35"/>
      <c r="JS236" s="35"/>
      <c r="JT236" s="35"/>
      <c r="JU236" s="35"/>
      <c r="JV236" s="35"/>
      <c r="JW236" s="35"/>
    </row>
    <row r="237" spans="271:283" x14ac:dyDescent="0.25">
      <c r="JK237" s="35"/>
      <c r="JL237" s="35"/>
      <c r="JM237" s="35"/>
      <c r="JN237" s="35"/>
      <c r="JO237" s="35"/>
      <c r="JP237" s="35"/>
      <c r="JQ237" s="35"/>
      <c r="JR237" s="35"/>
      <c r="JS237" s="35"/>
      <c r="JT237" s="35"/>
      <c r="JU237" s="35"/>
      <c r="JV237" s="35"/>
      <c r="JW237" s="35"/>
    </row>
    <row r="238" spans="271:283" x14ac:dyDescent="0.25">
      <c r="JK238" s="35"/>
      <c r="JL238" s="35"/>
      <c r="JM238" s="35"/>
      <c r="JN238" s="35"/>
      <c r="JO238" s="35"/>
      <c r="JP238" s="35"/>
      <c r="JQ238" s="35"/>
      <c r="JR238" s="35"/>
      <c r="JS238" s="35"/>
      <c r="JT238" s="35"/>
      <c r="JU238" s="35"/>
      <c r="JV238" s="35"/>
      <c r="JW238" s="35"/>
    </row>
    <row r="239" spans="271:283" x14ac:dyDescent="0.25">
      <c r="JK239" s="35"/>
      <c r="JL239" s="35"/>
      <c r="JM239" s="35"/>
      <c r="JN239" s="35"/>
      <c r="JO239" s="35"/>
      <c r="JP239" s="35"/>
      <c r="JQ239" s="35"/>
      <c r="JR239" s="35"/>
      <c r="JS239" s="35"/>
      <c r="JT239" s="35"/>
      <c r="JU239" s="35"/>
      <c r="JV239" s="35"/>
      <c r="JW239" s="35"/>
    </row>
    <row r="240" spans="271:283" x14ac:dyDescent="0.25">
      <c r="JK240" s="35"/>
      <c r="JL240" s="35"/>
      <c r="JM240" s="35"/>
      <c r="JN240" s="35"/>
      <c r="JO240" s="35"/>
      <c r="JP240" s="35"/>
      <c r="JQ240" s="35"/>
      <c r="JR240" s="35"/>
      <c r="JS240" s="35"/>
      <c r="JT240" s="35"/>
      <c r="JU240" s="35"/>
      <c r="JV240" s="35"/>
      <c r="JW240" s="35"/>
    </row>
    <row r="241" spans="271:283" x14ac:dyDescent="0.25">
      <c r="JK241" s="35"/>
      <c r="JL241" s="35"/>
      <c r="JM241" s="35"/>
      <c r="JN241" s="35"/>
      <c r="JO241" s="35"/>
      <c r="JP241" s="35"/>
      <c r="JQ241" s="35"/>
      <c r="JR241" s="35"/>
      <c r="JS241" s="35"/>
      <c r="JT241" s="35"/>
      <c r="JU241" s="35"/>
      <c r="JV241" s="35"/>
      <c r="JW241" s="35"/>
    </row>
    <row r="242" spans="271:283" x14ac:dyDescent="0.25">
      <c r="JK242" s="35"/>
      <c r="JL242" s="35"/>
      <c r="JM242" s="35"/>
      <c r="JN242" s="35"/>
      <c r="JO242" s="35"/>
      <c r="JP242" s="35"/>
      <c r="JQ242" s="35"/>
      <c r="JR242" s="35"/>
      <c r="JS242" s="35"/>
      <c r="JT242" s="35"/>
      <c r="JU242" s="35"/>
      <c r="JV242" s="35"/>
      <c r="JW242" s="35"/>
    </row>
    <row r="243" spans="271:283" x14ac:dyDescent="0.25">
      <c r="JK243" s="35"/>
      <c r="JL243" s="35"/>
      <c r="JM243" s="35"/>
      <c r="JN243" s="35"/>
      <c r="JO243" s="35"/>
      <c r="JP243" s="35"/>
      <c r="JQ243" s="35"/>
      <c r="JR243" s="35"/>
      <c r="JS243" s="35"/>
      <c r="JT243" s="35"/>
      <c r="JU243" s="35"/>
      <c r="JV243" s="35"/>
      <c r="JW243" s="35"/>
    </row>
    <row r="244" spans="271:283" x14ac:dyDescent="0.25">
      <c r="JK244" s="35"/>
      <c r="JL244" s="35"/>
      <c r="JM244" s="35"/>
      <c r="JN244" s="35"/>
      <c r="JO244" s="35"/>
      <c r="JP244" s="35"/>
      <c r="JQ244" s="35"/>
      <c r="JR244" s="35"/>
      <c r="JS244" s="35"/>
      <c r="JT244" s="35"/>
      <c r="JU244" s="35"/>
      <c r="JV244" s="35"/>
      <c r="JW244" s="35"/>
    </row>
    <row r="245" spans="271:283" x14ac:dyDescent="0.25"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</row>
    <row r="246" spans="271:283" x14ac:dyDescent="0.25">
      <c r="JK246" s="35"/>
      <c r="JL246" s="35"/>
      <c r="JM246" s="35"/>
      <c r="JN246" s="35"/>
      <c r="JO246" s="35"/>
      <c r="JP246" s="35"/>
      <c r="JQ246" s="35"/>
      <c r="JR246" s="35"/>
      <c r="JS246" s="35"/>
      <c r="JT246" s="35"/>
      <c r="JU246" s="35"/>
      <c r="JV246" s="35"/>
      <c r="JW246" s="35"/>
    </row>
    <row r="247" spans="271:283" x14ac:dyDescent="0.25">
      <c r="JK247" s="35"/>
      <c r="JL247" s="35"/>
      <c r="JM247" s="35"/>
      <c r="JN247" s="35"/>
      <c r="JO247" s="35"/>
      <c r="JP247" s="35"/>
      <c r="JQ247" s="35"/>
      <c r="JR247" s="35"/>
      <c r="JS247" s="35"/>
      <c r="JT247" s="35"/>
      <c r="JU247" s="35"/>
      <c r="JV247" s="35"/>
      <c r="JW247" s="35"/>
    </row>
    <row r="248" spans="271:283" x14ac:dyDescent="0.25">
      <c r="JK248" s="35"/>
      <c r="JL248" s="35"/>
      <c r="JM248" s="35"/>
      <c r="JN248" s="35"/>
      <c r="JO248" s="35"/>
      <c r="JP248" s="35"/>
      <c r="JQ248" s="35"/>
      <c r="JR248" s="35"/>
      <c r="JS248" s="35"/>
      <c r="JT248" s="35"/>
      <c r="JU248" s="35"/>
      <c r="JV248" s="35"/>
      <c r="JW248" s="35"/>
    </row>
  </sheetData>
  <sortState ref="JL3:JM270">
    <sortCondition descending="1" ref="JL3:JL27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Y305"/>
  <sheetViews>
    <sheetView tabSelected="1" zoomScale="70" zoomScaleNormal="70" workbookViewId="0">
      <selection activeCell="E3" sqref="E3"/>
    </sheetView>
  </sheetViews>
  <sheetFormatPr defaultRowHeight="13.2" x14ac:dyDescent="0.25"/>
  <cols>
    <col min="1" max="1" width="11.5546875" bestFit="1" customWidth="1"/>
    <col min="2" max="2" width="5.5546875" customWidth="1"/>
    <col min="4" max="4" width="15.109375" customWidth="1"/>
    <col min="5" max="5" width="20.44140625" bestFit="1" customWidth="1"/>
    <col min="6" max="6" width="13.33203125" bestFit="1" customWidth="1"/>
    <col min="8" max="8" width="17" bestFit="1" customWidth="1"/>
    <col min="9" max="9" width="23.77734375" customWidth="1"/>
    <col min="10" max="10" width="11.5546875" bestFit="1" customWidth="1"/>
    <col min="11" max="11" width="17" bestFit="1" customWidth="1"/>
    <col min="14" max="14" width="10.6640625" bestFit="1" customWidth="1"/>
    <col min="17" max="17" width="10.6640625" bestFit="1" customWidth="1"/>
    <col min="22" max="22" width="12" bestFit="1" customWidth="1"/>
    <col min="23" max="23" width="11.88671875" bestFit="1" customWidth="1"/>
  </cols>
  <sheetData>
    <row r="2" spans="2:25" ht="15.6" x14ac:dyDescent="0.3">
      <c r="E2" s="85" t="s">
        <v>68</v>
      </c>
      <c r="F2" s="30"/>
      <c r="H2" s="30"/>
    </row>
    <row r="3" spans="2:25" x14ac:dyDescent="0.25">
      <c r="U3" s="76" t="s">
        <v>57</v>
      </c>
      <c r="V3" s="76"/>
      <c r="W3" s="76"/>
      <c r="X3" s="76"/>
    </row>
    <row r="4" spans="2:25" x14ac:dyDescent="0.25">
      <c r="D4" s="84" t="s">
        <v>58</v>
      </c>
      <c r="F4">
        <v>0</v>
      </c>
      <c r="X4" s="18"/>
    </row>
    <row r="5" spans="2:25" x14ac:dyDescent="0.25">
      <c r="U5" s="25" t="s">
        <v>47</v>
      </c>
      <c r="X5" s="25" t="s">
        <v>48</v>
      </c>
    </row>
    <row r="6" spans="2:25" ht="26.4" x14ac:dyDescent="0.25">
      <c r="C6" s="48" t="s">
        <v>12</v>
      </c>
      <c r="D6" s="48" t="s">
        <v>13</v>
      </c>
      <c r="E6" s="48" t="s">
        <v>14</v>
      </c>
      <c r="F6" s="48" t="s">
        <v>47</v>
      </c>
      <c r="G6" s="48" t="s">
        <v>48</v>
      </c>
      <c r="R6" s="24"/>
      <c r="T6">
        <v>0</v>
      </c>
      <c r="U6" s="24">
        <f>U7</f>
        <v>0.16374195</v>
      </c>
      <c r="V6" s="24"/>
      <c r="W6">
        <v>0</v>
      </c>
      <c r="X6" s="24">
        <f>X7</f>
        <v>4.8796392700000002</v>
      </c>
      <c r="Y6" s="24"/>
    </row>
    <row r="7" spans="2:25" x14ac:dyDescent="0.25">
      <c r="C7" s="44"/>
      <c r="D7" s="82" t="s">
        <v>54</v>
      </c>
      <c r="E7" s="44"/>
      <c r="F7" s="83">
        <f>INDEX(MarketData!$D$5:$JD$41,ROW()-6,1+$F$4)</f>
        <v>70</v>
      </c>
      <c r="G7" s="82">
        <v>1</v>
      </c>
      <c r="I7" s="24"/>
      <c r="R7" s="24"/>
      <c r="T7">
        <v>1</v>
      </c>
      <c r="U7" s="24">
        <f>U8</f>
        <v>0.16374195</v>
      </c>
      <c r="V7" s="24"/>
      <c r="W7">
        <v>1</v>
      </c>
      <c r="X7" s="30">
        <f>X8</f>
        <v>4.8796392700000002</v>
      </c>
      <c r="Y7" s="30"/>
    </row>
    <row r="8" spans="2:25" ht="13.8" customHeight="1" x14ac:dyDescent="0.3">
      <c r="C8" s="45" t="s">
        <v>41</v>
      </c>
      <c r="D8" s="44"/>
      <c r="E8" s="44">
        <v>0</v>
      </c>
      <c r="F8" s="44">
        <f>F9</f>
        <v>0.16374195</v>
      </c>
      <c r="G8" s="44">
        <f t="shared" ref="G8" si="0">G9</f>
        <v>4.8796392700000002</v>
      </c>
      <c r="I8" s="18"/>
      <c r="R8" s="24"/>
      <c r="S8" s="24"/>
      <c r="T8">
        <v>2</v>
      </c>
      <c r="U8" s="24">
        <f>INDEX(MarketData!$D$5:$JD$41,ROW()+17,1+$F$4)</f>
        <v>0.16374195</v>
      </c>
      <c r="V8" s="24"/>
      <c r="W8" s="14">
        <v>5</v>
      </c>
      <c r="X8" s="30">
        <f>INDEX(MarketData!$D$5:$JD$41,ROW()-4,1+$F$4)</f>
        <v>4.8796392700000002</v>
      </c>
      <c r="Y8" s="30"/>
    </row>
    <row r="9" spans="2:25" ht="13.8" x14ac:dyDescent="0.3">
      <c r="B9" s="77" t="s">
        <v>64</v>
      </c>
      <c r="C9" s="46" t="s">
        <v>15</v>
      </c>
      <c r="D9" s="46" t="s">
        <v>16</v>
      </c>
      <c r="E9" s="46">
        <v>1</v>
      </c>
      <c r="F9" s="44">
        <f t="shared" ref="F9:F21" si="1">zy($T$7:$T$23,$U$7:$U$23,$E9)</f>
        <v>0.16374195</v>
      </c>
      <c r="G9" s="44">
        <f t="shared" ref="G9:G21" si="2">zy($W$7:$W$27,$X$7:$X$27,$E9)</f>
        <v>4.8796392700000002</v>
      </c>
      <c r="I9" s="18"/>
      <c r="R9" s="24"/>
      <c r="T9" s="14">
        <v>14</v>
      </c>
      <c r="U9" s="24">
        <f>INDEX(MarketData!$D$5:$JD$41,ROW()+17,1+$F$4)</f>
        <v>0.18476155</v>
      </c>
      <c r="V9" s="24"/>
      <c r="W9" s="14">
        <v>11</v>
      </c>
      <c r="X9" s="30">
        <f>INDEX(MarketData!$D$5:$JD$41,ROW()-4,1+$F$4)</f>
        <v>5.2696402600000001</v>
      </c>
      <c r="Y9" s="30"/>
    </row>
    <row r="10" spans="2:25" ht="13.8" x14ac:dyDescent="0.3">
      <c r="B10" s="78"/>
      <c r="C10" s="46" t="s">
        <v>17</v>
      </c>
      <c r="D10" s="46" t="s">
        <v>18</v>
      </c>
      <c r="E10" s="46">
        <v>3</v>
      </c>
      <c r="F10" s="44">
        <f t="shared" si="1"/>
        <v>0.16549358333333333</v>
      </c>
      <c r="G10" s="44">
        <f t="shared" si="2"/>
        <v>4.8796392700000002</v>
      </c>
      <c r="I10" s="18"/>
      <c r="R10" s="24"/>
      <c r="T10" s="14">
        <v>90</v>
      </c>
      <c r="U10" s="24">
        <f>INDEX(MarketData!$D$5:$JD$41,ROW()+17,1+$F$4)</f>
        <v>0.73334593000000003</v>
      </c>
      <c r="V10" s="24"/>
      <c r="W10" s="14">
        <v>34</v>
      </c>
      <c r="X10" s="30">
        <f>INDEX(MarketData!$D$5:$JD$41,ROW()-4,1+$F$4)</f>
        <v>6.70148542</v>
      </c>
      <c r="Y10" s="30"/>
    </row>
    <row r="11" spans="2:25" ht="13.8" x14ac:dyDescent="0.3">
      <c r="B11" s="78"/>
      <c r="C11" s="46" t="s">
        <v>19</v>
      </c>
      <c r="D11" s="46" t="s">
        <v>20</v>
      </c>
      <c r="E11" s="46">
        <v>30</v>
      </c>
      <c r="F11" s="44">
        <f t="shared" si="1"/>
        <v>0.30025299842105263</v>
      </c>
      <c r="G11" s="44">
        <f t="shared" si="2"/>
        <v>6.4524688704347826</v>
      </c>
      <c r="I11" s="18"/>
      <c r="R11" s="24"/>
      <c r="T11" s="14">
        <v>180</v>
      </c>
      <c r="U11" s="24">
        <f>INDEX(MarketData!$D$5:$JD$41,ROW()+17,1+$F$4)</f>
        <v>0.68299650999999995</v>
      </c>
      <c r="V11" s="24"/>
      <c r="W11" s="14">
        <v>66</v>
      </c>
      <c r="X11" s="30">
        <f>INDEX(MarketData!$D$5:$JD$41,ROW()-4,1+$F$4)</f>
        <v>6.8164819300000001</v>
      </c>
      <c r="Y11" s="30"/>
    </row>
    <row r="12" spans="2:25" ht="13.8" x14ac:dyDescent="0.3">
      <c r="B12" s="78"/>
      <c r="C12" s="46" t="s">
        <v>21</v>
      </c>
      <c r="D12" s="46" t="s">
        <v>22</v>
      </c>
      <c r="E12" s="46">
        <v>91</v>
      </c>
      <c r="F12" s="44">
        <f t="shared" si="1"/>
        <v>0.73278649200000001</v>
      </c>
      <c r="G12" s="44">
        <f t="shared" si="2"/>
        <v>6.7339239050000002</v>
      </c>
      <c r="I12" s="18"/>
      <c r="R12" s="24"/>
      <c r="T12" s="14">
        <v>270</v>
      </c>
      <c r="U12" s="24">
        <f>INDEX(MarketData!$D$5:$JD$41,ROW()+17,1+$F$4)</f>
        <v>0.65814914000000002</v>
      </c>
      <c r="V12" s="24"/>
      <c r="W12" s="14">
        <v>96</v>
      </c>
      <c r="X12" s="30">
        <f>INDEX(MarketData!$D$5:$JD$41,ROW()-4,1+$F$4)</f>
        <v>6.7174123000000003</v>
      </c>
      <c r="Y12" s="30"/>
    </row>
    <row r="13" spans="2:25" ht="13.8" x14ac:dyDescent="0.3">
      <c r="B13" s="78"/>
      <c r="C13" s="46" t="s">
        <v>23</v>
      </c>
      <c r="D13" s="46" t="s">
        <v>24</v>
      </c>
      <c r="E13" s="46">
        <v>183</v>
      </c>
      <c r="F13" s="44">
        <f t="shared" si="1"/>
        <v>0.68216826433333333</v>
      </c>
      <c r="G13" s="44">
        <f t="shared" si="2"/>
        <v>6.1541730351851847</v>
      </c>
      <c r="I13" s="18"/>
      <c r="R13" s="24"/>
      <c r="T13" s="14">
        <v>365</v>
      </c>
      <c r="U13" s="24">
        <f>INDEX(MarketData!$D$5:$JD$41,ROW()+17,1+$F$4)</f>
        <v>0.66103789000000002</v>
      </c>
      <c r="V13" s="24"/>
      <c r="W13" s="14">
        <v>126</v>
      </c>
      <c r="X13" s="30">
        <f>INDEX(MarketData!$D$5:$JD$41,ROW()-4,1+$F$4)</f>
        <v>6.4794574100000002</v>
      </c>
      <c r="Y13" s="30"/>
    </row>
    <row r="14" spans="2:25" ht="13.8" x14ac:dyDescent="0.3">
      <c r="B14" s="78"/>
      <c r="C14" s="46" t="s">
        <v>25</v>
      </c>
      <c r="D14" s="46" t="s">
        <v>26</v>
      </c>
      <c r="E14" s="46">
        <v>274</v>
      </c>
      <c r="F14" s="44">
        <f t="shared" si="1"/>
        <v>0.65827077157894742</v>
      </c>
      <c r="G14" s="44">
        <f t="shared" si="2"/>
        <v>5.6981251407142857</v>
      </c>
      <c r="I14" s="18"/>
      <c r="R14" s="24"/>
      <c r="T14" s="14">
        <v>545</v>
      </c>
      <c r="U14" s="24">
        <f>INDEX(MarketData!$D$5:$JD$41,ROW()+17,1+$F$4)</f>
        <v>0.69100158</v>
      </c>
      <c r="V14" s="24"/>
      <c r="W14" s="14">
        <v>160</v>
      </c>
      <c r="X14" s="30">
        <f>INDEX(MarketData!$D$5:$JD$41,ROW()-4,1+$F$4)</f>
        <v>6.2696414599999999</v>
      </c>
      <c r="Y14" s="30"/>
    </row>
    <row r="15" spans="2:25" ht="13.8" x14ac:dyDescent="0.3">
      <c r="B15" s="78"/>
      <c r="C15" s="46" t="s">
        <v>27</v>
      </c>
      <c r="D15" s="46" t="s">
        <v>28</v>
      </c>
      <c r="E15" s="46">
        <v>365</v>
      </c>
      <c r="F15" s="44">
        <f t="shared" si="1"/>
        <v>0.66103789000000002</v>
      </c>
      <c r="G15" s="44">
        <f t="shared" si="2"/>
        <v>5.6366616266666671</v>
      </c>
      <c r="I15" s="18"/>
      <c r="R15" s="24"/>
      <c r="T15" s="14">
        <v>725</v>
      </c>
      <c r="U15" s="24">
        <f>INDEX(MarketData!$D$5:$JD$41,ROW()+17,1+$F$4)</f>
        <v>0.72971176000000004</v>
      </c>
      <c r="V15" s="24"/>
      <c r="W15" s="14">
        <v>187</v>
      </c>
      <c r="X15" s="30">
        <f>INDEX(MarketData!$D$5:$JD$41,ROW()-4,1+$F$4)</f>
        <v>6.1340915699999998</v>
      </c>
      <c r="Y15" s="30"/>
    </row>
    <row r="16" spans="2:25" ht="13.8" x14ac:dyDescent="0.3">
      <c r="B16" s="78"/>
      <c r="C16" s="46" t="s">
        <v>29</v>
      </c>
      <c r="D16" s="46" t="s">
        <v>30</v>
      </c>
      <c r="E16" s="46">
        <v>730</v>
      </c>
      <c r="F16" s="44">
        <f t="shared" si="1"/>
        <v>0.73028273424657542</v>
      </c>
      <c r="G16" s="44">
        <f t="shared" si="2"/>
        <v>5.0922555729863017</v>
      </c>
      <c r="I16" s="18"/>
      <c r="R16" s="24"/>
      <c r="T16" s="14">
        <v>1090</v>
      </c>
      <c r="U16" s="24">
        <f>INDEX(MarketData!$D$5:$JD$41,ROW()+17,1+$F$4)</f>
        <v>0.77139287999999995</v>
      </c>
      <c r="V16" s="24"/>
      <c r="W16" s="14">
        <v>220</v>
      </c>
      <c r="X16" s="30">
        <f>INDEX(MarketData!$D$5:$JD$41,ROW()-4,1+$F$4)</f>
        <v>5.8814032100000002</v>
      </c>
      <c r="Y16" s="30"/>
    </row>
    <row r="17" spans="2:25" ht="13.8" x14ac:dyDescent="0.3">
      <c r="B17" s="78"/>
      <c r="C17" s="46" t="s">
        <v>31</v>
      </c>
      <c r="D17" s="46" t="s">
        <v>32</v>
      </c>
      <c r="E17" s="46">
        <v>1095</v>
      </c>
      <c r="F17" s="44">
        <f t="shared" si="1"/>
        <v>0.7714013676027397</v>
      </c>
      <c r="G17" s="44">
        <f t="shared" si="2"/>
        <v>5.1524069459452058</v>
      </c>
      <c r="I17" s="18"/>
      <c r="R17" s="24"/>
      <c r="T17" s="14">
        <v>1820</v>
      </c>
      <c r="U17" s="24">
        <f>INDEX(MarketData!$D$5:$JD$41,ROW()+17,1+$F$4)</f>
        <v>0.77263207</v>
      </c>
      <c r="V17" s="24"/>
      <c r="W17" s="14">
        <v>249</v>
      </c>
      <c r="X17" s="30">
        <f>INDEX(MarketData!$D$5:$JD$41,ROW()-4,1+$F$4)</f>
        <v>5.7553147300000003</v>
      </c>
      <c r="Y17" s="30"/>
    </row>
    <row r="18" spans="2:25" ht="13.8" x14ac:dyDescent="0.3">
      <c r="B18" s="78"/>
      <c r="C18" s="46" t="s">
        <v>33</v>
      </c>
      <c r="D18" s="46" t="s">
        <v>34</v>
      </c>
      <c r="E18" s="46">
        <v>1460</v>
      </c>
      <c r="F18" s="44">
        <f t="shared" si="1"/>
        <v>0.77202096260273967</v>
      </c>
      <c r="G18" s="44">
        <f t="shared" si="2"/>
        <v>5.4980438249591286</v>
      </c>
      <c r="I18" s="18"/>
      <c r="R18" s="24"/>
      <c r="T18" s="14">
        <v>2550</v>
      </c>
      <c r="U18" s="24">
        <f>INDEX(MarketData!$D$5:$JD$41,ROW()+17,1+$F$4)</f>
        <v>0.78810309000000001</v>
      </c>
      <c r="V18" s="24"/>
      <c r="W18" s="14">
        <v>277</v>
      </c>
      <c r="X18" s="30">
        <f>INDEX(MarketData!$D$5:$JD$41,ROW()-4,1+$F$4)</f>
        <v>5.6912623900000003</v>
      </c>
      <c r="Y18" s="30"/>
    </row>
    <row r="19" spans="2:25" ht="13.8" x14ac:dyDescent="0.3">
      <c r="B19" s="78"/>
      <c r="C19" s="46" t="s">
        <v>35</v>
      </c>
      <c r="D19" s="46" t="s">
        <v>36</v>
      </c>
      <c r="E19" s="46">
        <v>1825</v>
      </c>
      <c r="F19" s="44">
        <f t="shared" si="1"/>
        <v>0.77273803589041101</v>
      </c>
      <c r="G19" s="44">
        <f t="shared" si="2"/>
        <v>5.6919923465934072</v>
      </c>
      <c r="I19" s="18"/>
      <c r="R19" s="24"/>
      <c r="T19" s="14">
        <v>3650</v>
      </c>
      <c r="U19" s="24">
        <f>INDEX(MarketData!$D$5:$JD$41,ROW()+17,1+$F$4)</f>
        <v>0.83091305999999998</v>
      </c>
      <c r="V19" s="24"/>
      <c r="W19" s="14">
        <v>308</v>
      </c>
      <c r="X19" s="30">
        <f>INDEX(MarketData!$D$5:$JD$41,ROW()-4,1+$F$4)</f>
        <v>5.6735504099999998</v>
      </c>
      <c r="Y19" s="30"/>
    </row>
    <row r="20" spans="2:25" ht="13.8" x14ac:dyDescent="0.3">
      <c r="B20" s="78"/>
      <c r="C20" s="46" t="s">
        <v>37</v>
      </c>
      <c r="D20" s="46" t="s">
        <v>38</v>
      </c>
      <c r="E20" s="46">
        <v>2555</v>
      </c>
      <c r="F20" s="44">
        <f t="shared" si="1"/>
        <v>0.78829768077272733</v>
      </c>
      <c r="G20" s="44">
        <f t="shared" si="2"/>
        <v>5.8574490081506845</v>
      </c>
      <c r="I20" s="18"/>
      <c r="R20" s="24"/>
      <c r="T20" s="14"/>
      <c r="U20" s="24"/>
      <c r="V20" s="24"/>
      <c r="W20" s="14">
        <v>339</v>
      </c>
      <c r="X20" s="30">
        <f>INDEX(MarketData!$D$5:$JD$41,ROW()-4,1+$F$4)</f>
        <v>5.6563528999999999</v>
      </c>
      <c r="Y20" s="30"/>
    </row>
    <row r="21" spans="2:25" ht="13.8" x14ac:dyDescent="0.3">
      <c r="B21" s="79"/>
      <c r="C21" s="46" t="s">
        <v>39</v>
      </c>
      <c r="D21" s="46" t="s">
        <v>40</v>
      </c>
      <c r="E21" s="46">
        <v>3650</v>
      </c>
      <c r="F21" s="44">
        <f t="shared" si="1"/>
        <v>0.83091305999999998</v>
      </c>
      <c r="G21" s="44">
        <f t="shared" si="2"/>
        <v>5.6039876156517776</v>
      </c>
      <c r="I21" s="18"/>
      <c r="R21" s="24"/>
      <c r="T21" s="14"/>
      <c r="U21" s="24"/>
      <c r="V21" s="24"/>
      <c r="W21" s="14">
        <v>369</v>
      </c>
      <c r="X21" s="30">
        <f>INDEX(MarketData!$D$5:$JD$41,ROW()-4,1+$F$4)</f>
        <v>5.6336322000000001</v>
      </c>
      <c r="Y21" s="30"/>
    </row>
    <row r="22" spans="2:25" ht="13.8" x14ac:dyDescent="0.3">
      <c r="C22" s="22"/>
      <c r="D22" s="22"/>
      <c r="E22" s="22"/>
      <c r="I22" s="18"/>
      <c r="R22" s="24"/>
      <c r="T22" s="14"/>
      <c r="U22" s="24"/>
      <c r="V22" s="24"/>
      <c r="W22" s="14">
        <v>734</v>
      </c>
      <c r="X22" s="30">
        <f>INDEX(MarketData!$D$5:$JD$41,ROW()-4,1+$F$4)</f>
        <v>5.0862569400000002</v>
      </c>
      <c r="Y22" s="30"/>
    </row>
    <row r="23" spans="2:25" ht="13.8" x14ac:dyDescent="0.3">
      <c r="I23" s="18"/>
      <c r="R23" s="24"/>
      <c r="T23" s="14"/>
      <c r="U23" s="24"/>
      <c r="V23" s="24"/>
      <c r="W23" s="14">
        <v>1099</v>
      </c>
      <c r="X23" s="30">
        <f>INDEX(MarketData!$D$5:$JD$41,ROW()-4,1+$F$4)</f>
        <v>5.1531399100000002</v>
      </c>
      <c r="Y23" s="30"/>
    </row>
    <row r="24" spans="2:25" ht="13.8" x14ac:dyDescent="0.3">
      <c r="I24" s="18"/>
      <c r="R24" s="24"/>
      <c r="T24" s="14"/>
      <c r="U24" s="24"/>
      <c r="W24" s="14">
        <v>1466</v>
      </c>
      <c r="X24" s="30">
        <f>INDEX(MarketData!$D$5:$JD$41,ROW()-4,1+$F$4)</f>
        <v>5.5037763000000002</v>
      </c>
      <c r="Y24" s="30"/>
    </row>
    <row r="25" spans="2:25" ht="13.8" x14ac:dyDescent="0.3">
      <c r="I25" s="18"/>
      <c r="R25" s="24"/>
      <c r="T25" s="14"/>
      <c r="U25" s="24"/>
      <c r="W25" s="14">
        <v>1830</v>
      </c>
      <c r="X25" s="30">
        <f>INDEX(MarketData!$D$5:$JD$41,ROW()-4,1+$F$4)</f>
        <v>5.6946137400000003</v>
      </c>
      <c r="Y25" s="30"/>
    </row>
    <row r="26" spans="2:25" ht="13.8" x14ac:dyDescent="0.3">
      <c r="I26" s="18"/>
      <c r="R26" s="24"/>
      <c r="T26" s="14"/>
      <c r="U26" s="24"/>
      <c r="W26" s="14">
        <v>2560</v>
      </c>
      <c r="X26" s="30">
        <f>INDEX(MarketData!$D$5:$JD$41,ROW()-4,1+$F$4)</f>
        <v>5.8585720099999996</v>
      </c>
      <c r="Y26" s="30"/>
    </row>
    <row r="27" spans="2:25" ht="13.8" x14ac:dyDescent="0.3">
      <c r="C27" s="1" t="s">
        <v>60</v>
      </c>
      <c r="R27" s="24"/>
      <c r="T27" s="14"/>
      <c r="U27" s="24"/>
      <c r="W27" s="14">
        <v>3657</v>
      </c>
      <c r="X27" s="30">
        <f>INDEX(MarketData!$D$5:$JD$41,ROW()-4,1+$F$4)</f>
        <v>5.6023526700000001</v>
      </c>
      <c r="Y27" s="30"/>
    </row>
    <row r="28" spans="2:25" x14ac:dyDescent="0.25">
      <c r="C28" s="1" t="s">
        <v>61</v>
      </c>
      <c r="E28" s="43">
        <f>'CF &amp; PVs'!H4</f>
        <v>-1340680.9107809067</v>
      </c>
      <c r="R28" s="24"/>
      <c r="W28" s="4"/>
    </row>
    <row r="29" spans="2:25" x14ac:dyDescent="0.25">
      <c r="E29" s="3"/>
      <c r="R29" s="24"/>
      <c r="W29" s="4"/>
    </row>
    <row r="30" spans="2:25" ht="31.8" customHeight="1" thickBot="1" x14ac:dyDescent="0.3">
      <c r="C30" s="48" t="s">
        <v>42</v>
      </c>
      <c r="D30" s="48" t="s">
        <v>8</v>
      </c>
      <c r="E30" s="48" t="s">
        <v>7</v>
      </c>
      <c r="F30" s="48" t="s">
        <v>43</v>
      </c>
      <c r="M30" s="4"/>
      <c r="R30" s="24"/>
    </row>
    <row r="31" spans="2:25" x14ac:dyDescent="0.25">
      <c r="C31" s="44">
        <v>1</v>
      </c>
      <c r="D31" s="47">
        <f>MATCH(E31,$E$43:$E$302,0)</f>
        <v>196</v>
      </c>
      <c r="E31" s="50">
        <f>SMALL($E$43:$E$302,C31)</f>
        <v>-17600165.71234417</v>
      </c>
      <c r="F31" s="44">
        <f>(260-C31+1)/260</f>
        <v>1</v>
      </c>
      <c r="M31" s="4"/>
      <c r="R31" s="24"/>
      <c r="V31" s="28" t="s">
        <v>44</v>
      </c>
      <c r="W31" s="28" t="s">
        <v>45</v>
      </c>
    </row>
    <row r="32" spans="2:25" x14ac:dyDescent="0.25">
      <c r="C32" s="44">
        <v>2</v>
      </c>
      <c r="D32" s="47">
        <f>MATCH(E32,$E$43:$E$302,0)</f>
        <v>192</v>
      </c>
      <c r="E32" s="50">
        <f>SMALL($E$43:$E$302,C32)</f>
        <v>-17322908.209852219</v>
      </c>
      <c r="F32" s="44">
        <f t="shared" ref="F32:F34" si="3">(260-C32+1)/260</f>
        <v>0.99615384615384617</v>
      </c>
      <c r="R32" s="24"/>
      <c r="V32" s="42">
        <f>E31</f>
        <v>-17600165.71234417</v>
      </c>
      <c r="W32" s="26">
        <f t="array" ref="W32:W57">FREQUENCY($E$43:$E$302,$V$32:$V$57)</f>
        <v>1</v>
      </c>
    </row>
    <row r="33" spans="1:23" x14ac:dyDescent="0.25">
      <c r="C33" s="44">
        <v>3</v>
      </c>
      <c r="D33" s="47">
        <f>MATCH(E33,$E$43:$E$302,0)</f>
        <v>176</v>
      </c>
      <c r="E33" s="50">
        <f>SMALL($E$43:$E$302,C33)</f>
        <v>-14734987.692865372</v>
      </c>
      <c r="F33" s="44">
        <f t="shared" si="3"/>
        <v>0.99230769230769234</v>
      </c>
      <c r="R33" s="24"/>
      <c r="V33" s="42">
        <f>E32</f>
        <v>-17322908.209852219</v>
      </c>
      <c r="W33" s="26">
        <v>1</v>
      </c>
    </row>
    <row r="34" spans="1:23" x14ac:dyDescent="0.25">
      <c r="C34" s="44">
        <v>4</v>
      </c>
      <c r="D34" s="47">
        <f>MATCH(E34,$E$43:$E$302,0)</f>
        <v>134</v>
      </c>
      <c r="E34" s="50">
        <f>SMALL($E$43:$E$302,C34)</f>
        <v>-13601066.788747787</v>
      </c>
      <c r="F34" s="44">
        <f t="shared" si="3"/>
        <v>0.9884615384615385</v>
      </c>
      <c r="R34" s="24"/>
      <c r="V34" s="42">
        <f>E33</f>
        <v>-14734987.692865372</v>
      </c>
      <c r="W34" s="26">
        <v>1</v>
      </c>
    </row>
    <row r="35" spans="1:23" ht="22.8" x14ac:dyDescent="0.4">
      <c r="C35" s="80" t="s">
        <v>59</v>
      </c>
      <c r="D35" s="49"/>
      <c r="E35" s="81">
        <f>E34+(E33-E34)/(F33-F34)*(F35-F34)</f>
        <v>-14054635.150394809</v>
      </c>
      <c r="F35" s="44">
        <v>0.99</v>
      </c>
      <c r="R35" s="24"/>
      <c r="V35" s="42">
        <f>E34</f>
        <v>-13601066.788747787</v>
      </c>
      <c r="W35" s="26">
        <v>1</v>
      </c>
    </row>
    <row r="36" spans="1:23" x14ac:dyDescent="0.25">
      <c r="E36" s="3"/>
      <c r="R36" s="24"/>
      <c r="U36" s="24"/>
      <c r="V36" s="42">
        <f>ROUND(($V$57-$V$35)/22+V35,0)</f>
        <v>-11711833</v>
      </c>
      <c r="W36" s="26">
        <v>2</v>
      </c>
    </row>
    <row r="37" spans="1:23" x14ac:dyDescent="0.25">
      <c r="R37" s="24"/>
      <c r="V37" s="42">
        <f>ROUND(($V$57-$V$35)/22+V36,0)</f>
        <v>-9822599</v>
      </c>
      <c r="W37" s="26">
        <v>4</v>
      </c>
    </row>
    <row r="38" spans="1:23" x14ac:dyDescent="0.25">
      <c r="E38" s="3"/>
      <c r="R38" s="24"/>
      <c r="V38" s="42">
        <f>ROUND(($V$57-$V$35)/22+V37,0)</f>
        <v>-7933365</v>
      </c>
      <c r="W38" s="26">
        <v>2</v>
      </c>
    </row>
    <row r="39" spans="1:23" x14ac:dyDescent="0.25">
      <c r="A39" s="1" t="s">
        <v>69</v>
      </c>
      <c r="R39" s="24"/>
      <c r="V39" s="42">
        <f>ROUND(($V$57-$V$35)/22+V38,0)</f>
        <v>-6044131</v>
      </c>
      <c r="W39" s="26">
        <v>11</v>
      </c>
    </row>
    <row r="40" spans="1:23" x14ac:dyDescent="0.25">
      <c r="R40" s="24"/>
      <c r="V40" s="42">
        <f>ROUND(($V$57-$V$35)/22+V39,0)</f>
        <v>-4154897</v>
      </c>
      <c r="W40" s="26">
        <v>24</v>
      </c>
    </row>
    <row r="41" spans="1:23" x14ac:dyDescent="0.25">
      <c r="D41" s="62" t="s">
        <v>62</v>
      </c>
      <c r="E41" s="62" t="s">
        <v>63</v>
      </c>
      <c r="F41" s="62" t="s">
        <v>5</v>
      </c>
      <c r="R41" s="24"/>
      <c r="V41" s="42">
        <f>ROUND(($V$57-$V$35)/22+V40,0)</f>
        <v>-2265663</v>
      </c>
      <c r="W41" s="26">
        <v>25</v>
      </c>
    </row>
    <row r="42" spans="1:23" x14ac:dyDescent="0.25">
      <c r="D42" s="51"/>
      <c r="E42" s="65"/>
      <c r="F42" s="65">
        <v>-1340680.9107809067</v>
      </c>
      <c r="V42" s="42">
        <f>ROUND(($V$57-$V$35)/22+V41,0)</f>
        <v>-376429</v>
      </c>
      <c r="W42" s="26">
        <v>44</v>
      </c>
    </row>
    <row r="43" spans="1:23" x14ac:dyDescent="0.25">
      <c r="D43" s="67">
        <v>1</v>
      </c>
      <c r="E43" s="65">
        <v>2236821.179268837</v>
      </c>
      <c r="F43" s="65">
        <v>896140.2684879303</v>
      </c>
      <c r="V43" s="42">
        <f>ROUND(($V$57-$V$35)/22+V42,0)</f>
        <v>1512805</v>
      </c>
      <c r="W43" s="26">
        <v>54</v>
      </c>
    </row>
    <row r="44" spans="1:23" x14ac:dyDescent="0.25">
      <c r="D44" s="67">
        <v>2</v>
      </c>
      <c r="E44" s="65">
        <v>-105314.42837047577</v>
      </c>
      <c r="F44" s="65">
        <v>-1445995.3391513824</v>
      </c>
      <c r="V44" s="42">
        <f>ROUND(($V$57-$V$35)/22+V43,0)</f>
        <v>3402039</v>
      </c>
      <c r="W44" s="26">
        <v>33</v>
      </c>
    </row>
    <row r="45" spans="1:23" x14ac:dyDescent="0.25">
      <c r="D45" s="67">
        <v>3</v>
      </c>
      <c r="E45" s="65">
        <v>-4311914.3781909943</v>
      </c>
      <c r="F45" s="65">
        <v>-5652595.2889719009</v>
      </c>
      <c r="V45" s="42">
        <f>ROUND(($V$57-$V$35)/22+V44,0)</f>
        <v>5291273</v>
      </c>
      <c r="W45">
        <v>20</v>
      </c>
    </row>
    <row r="46" spans="1:23" x14ac:dyDescent="0.25">
      <c r="D46" s="67">
        <v>4</v>
      </c>
      <c r="E46" s="65">
        <v>-634056.51934909821</v>
      </c>
      <c r="F46" s="65">
        <v>-1974737.4301300049</v>
      </c>
      <c r="V46" s="42">
        <f>ROUND(($V$57-$V$35)/22+V45,0)</f>
        <v>7180507</v>
      </c>
      <c r="W46">
        <v>14</v>
      </c>
    </row>
    <row r="47" spans="1:23" x14ac:dyDescent="0.25">
      <c r="D47" s="67">
        <v>5</v>
      </c>
      <c r="E47" s="65">
        <v>4735103.0677528381</v>
      </c>
      <c r="F47" s="65">
        <v>3394422.1569719315</v>
      </c>
      <c r="V47" s="42">
        <f>ROUND(($V$57-$V$35)/22+V46,0)</f>
        <v>9069741</v>
      </c>
      <c r="W47">
        <v>10</v>
      </c>
    </row>
    <row r="48" spans="1:23" x14ac:dyDescent="0.25">
      <c r="D48" s="67">
        <v>6</v>
      </c>
      <c r="E48" s="65">
        <v>2304934.9609251022</v>
      </c>
      <c r="F48" s="65">
        <v>964254.05014419556</v>
      </c>
      <c r="V48" s="42">
        <f>ROUND(($V$57-$V$35)/22+V47,0)</f>
        <v>10958975</v>
      </c>
      <c r="W48">
        <v>4</v>
      </c>
    </row>
    <row r="49" spans="4:23" x14ac:dyDescent="0.25">
      <c r="D49" s="67">
        <v>7</v>
      </c>
      <c r="E49" s="65">
        <v>1104760.7586975098</v>
      </c>
      <c r="F49" s="65">
        <v>-235920.15208339691</v>
      </c>
      <c r="V49" s="42">
        <f>ROUND(($V$57-$V$35)/22+V48,0)</f>
        <v>12848209</v>
      </c>
      <c r="W49">
        <v>1</v>
      </c>
    </row>
    <row r="50" spans="4:23" x14ac:dyDescent="0.25">
      <c r="D50" s="67">
        <v>8</v>
      </c>
      <c r="E50" s="65">
        <v>-773285.40679359436</v>
      </c>
      <c r="F50" s="65">
        <v>-2113966.317574501</v>
      </c>
      <c r="V50" s="42">
        <f>ROUND(($V$57-$V$35)/22+V49,0)</f>
        <v>14737443</v>
      </c>
      <c r="W50">
        <v>3</v>
      </c>
    </row>
    <row r="51" spans="4:23" x14ac:dyDescent="0.25">
      <c r="D51" s="67">
        <v>9</v>
      </c>
      <c r="E51" s="65">
        <v>4886676.1109371185</v>
      </c>
      <c r="F51" s="65">
        <v>3545995.2001562119</v>
      </c>
      <c r="V51" s="42">
        <f>ROUND(($V$57-$V$35)/22+V50,0)</f>
        <v>16626677</v>
      </c>
      <c r="W51">
        <v>3</v>
      </c>
    </row>
    <row r="52" spans="4:23" x14ac:dyDescent="0.25">
      <c r="D52" s="67">
        <v>10</v>
      </c>
      <c r="E52" s="65">
        <v>1990687.320142746</v>
      </c>
      <c r="F52" s="65">
        <v>650006.40936183929</v>
      </c>
      <c r="H52" s="32"/>
      <c r="K52" s="32"/>
      <c r="V52" s="42">
        <f>ROUND(($V$57-$V$35)/22+V51,0)</f>
        <v>18515911</v>
      </c>
      <c r="W52">
        <v>0</v>
      </c>
    </row>
    <row r="53" spans="4:23" x14ac:dyDescent="0.25">
      <c r="D53" s="67">
        <v>11</v>
      </c>
      <c r="E53" s="65">
        <v>301196.46873474121</v>
      </c>
      <c r="F53" s="65">
        <v>-1039484.4420461655</v>
      </c>
      <c r="K53" s="32"/>
      <c r="V53" s="42">
        <f>ROUND(($V$57-$V$35)/22+V52,0)</f>
        <v>20405145</v>
      </c>
      <c r="W53">
        <v>1</v>
      </c>
    </row>
    <row r="54" spans="4:23" x14ac:dyDescent="0.25">
      <c r="D54" s="67">
        <v>12</v>
      </c>
      <c r="E54" s="65">
        <v>-1758773.1628646851</v>
      </c>
      <c r="F54" s="65">
        <v>-3099454.0736455917</v>
      </c>
      <c r="K54" s="32"/>
      <c r="V54" s="42">
        <f>ROUND(($V$57-$V$35)/22+V53,0)</f>
        <v>22294379</v>
      </c>
      <c r="W54" s="26">
        <v>0</v>
      </c>
    </row>
    <row r="55" spans="4:23" x14ac:dyDescent="0.25">
      <c r="D55" s="67">
        <v>13</v>
      </c>
      <c r="E55" s="65">
        <v>1443138.1754846573</v>
      </c>
      <c r="F55" s="65">
        <v>102457.26470375061</v>
      </c>
      <c r="K55" s="32"/>
      <c r="V55" s="42">
        <f>ROUND(($V$57-$V$35)/22+V54,0)</f>
        <v>24183613</v>
      </c>
      <c r="W55" s="26">
        <v>0</v>
      </c>
    </row>
    <row r="56" spans="4:23" x14ac:dyDescent="0.25">
      <c r="D56" s="67">
        <v>14</v>
      </c>
      <c r="E56" s="65">
        <v>59210.458231925964</v>
      </c>
      <c r="F56" s="65">
        <v>-1281470.4525489807</v>
      </c>
      <c r="K56" s="32"/>
      <c r="V56" s="42">
        <f>ROUND(($V$57-$V$35)/22+V55,0)</f>
        <v>26072847</v>
      </c>
      <c r="W56" s="26">
        <v>0</v>
      </c>
    </row>
    <row r="57" spans="4:23" ht="13.8" thickBot="1" x14ac:dyDescent="0.3">
      <c r="D57" s="67">
        <v>15</v>
      </c>
      <c r="E57" s="65">
        <v>-318704.7708158493</v>
      </c>
      <c r="F57" s="65">
        <v>-1659385.681596756</v>
      </c>
      <c r="K57" s="32"/>
      <c r="V57" s="42">
        <f>ROUNDUP(MAX($E$43:$E$302),0)</f>
        <v>27962076</v>
      </c>
      <c r="W57" s="27">
        <v>1</v>
      </c>
    </row>
    <row r="58" spans="4:23" x14ac:dyDescent="0.25">
      <c r="D58" s="67">
        <v>16</v>
      </c>
      <c r="E58" s="65">
        <v>-3586401.5123968124</v>
      </c>
      <c r="F58" s="65">
        <v>-4927082.4231777191</v>
      </c>
      <c r="K58" s="32"/>
      <c r="V58" s="70">
        <f>E35</f>
        <v>-14054635.150394809</v>
      </c>
      <c r="W58">
        <f>MAX(W32:W57)</f>
        <v>54</v>
      </c>
    </row>
    <row r="59" spans="4:23" x14ac:dyDescent="0.25">
      <c r="D59" s="67">
        <v>17</v>
      </c>
      <c r="E59" s="65">
        <v>3109332.3938217163</v>
      </c>
      <c r="F59" s="65">
        <v>1768651.4830408096</v>
      </c>
      <c r="K59" s="32"/>
    </row>
    <row r="60" spans="4:23" x14ac:dyDescent="0.25">
      <c r="D60" s="67">
        <v>18</v>
      </c>
      <c r="E60" s="65">
        <v>-1323119.7807750702</v>
      </c>
      <c r="F60" s="65">
        <v>-2663800.6915559769</v>
      </c>
      <c r="H60" s="18"/>
      <c r="K60" s="32"/>
      <c r="V60" s="71"/>
    </row>
    <row r="61" spans="4:23" x14ac:dyDescent="0.25">
      <c r="D61" s="67">
        <v>19</v>
      </c>
      <c r="E61" s="65">
        <v>2500794.8329572678</v>
      </c>
      <c r="F61" s="65">
        <v>1160113.9221763611</v>
      </c>
      <c r="K61" s="32"/>
    </row>
    <row r="62" spans="4:23" x14ac:dyDescent="0.25">
      <c r="D62" s="67">
        <v>20</v>
      </c>
      <c r="E62" s="65">
        <v>-1390974.350769043</v>
      </c>
      <c r="F62" s="65">
        <v>-2731655.2615499496</v>
      </c>
      <c r="K62" s="32"/>
    </row>
    <row r="63" spans="4:23" x14ac:dyDescent="0.25">
      <c r="D63" s="67">
        <v>21</v>
      </c>
      <c r="E63" s="65">
        <v>2092631.9741830826</v>
      </c>
      <c r="F63" s="65">
        <v>751951.0634021759</v>
      </c>
      <c r="K63" s="32"/>
    </row>
    <row r="64" spans="4:23" x14ac:dyDescent="0.25">
      <c r="D64" s="67">
        <v>22</v>
      </c>
      <c r="E64" s="65">
        <v>7602663.5296068192</v>
      </c>
      <c r="F64" s="65">
        <v>6261982.6188259125</v>
      </c>
      <c r="K64" s="32"/>
    </row>
    <row r="65" spans="4:11" x14ac:dyDescent="0.25">
      <c r="D65" s="67">
        <v>23</v>
      </c>
      <c r="E65" s="65">
        <v>1297135.2228431702</v>
      </c>
      <c r="F65" s="65">
        <v>-43545.687937736511</v>
      </c>
      <c r="K65" s="32"/>
    </row>
    <row r="66" spans="4:11" x14ac:dyDescent="0.25">
      <c r="D66" s="67">
        <v>24</v>
      </c>
      <c r="E66" s="65">
        <v>2004448.8889455795</v>
      </c>
      <c r="F66" s="65">
        <v>663767.97816467285</v>
      </c>
      <c r="K66" s="32"/>
    </row>
    <row r="67" spans="4:11" x14ac:dyDescent="0.25">
      <c r="D67" s="67">
        <v>25</v>
      </c>
      <c r="E67" s="65">
        <v>-2279017.3567876816</v>
      </c>
      <c r="F67" s="65">
        <v>-3619698.2675685883</v>
      </c>
      <c r="K67" s="32"/>
    </row>
    <row r="68" spans="4:11" x14ac:dyDescent="0.25">
      <c r="D68" s="67">
        <v>26</v>
      </c>
      <c r="E68" s="65">
        <v>-708164.19989490509</v>
      </c>
      <c r="F68" s="65">
        <v>-2048845.1106758118</v>
      </c>
    </row>
    <row r="69" spans="4:11" x14ac:dyDescent="0.25">
      <c r="D69" s="67">
        <v>27</v>
      </c>
      <c r="E69" s="65">
        <v>6170892.654001236</v>
      </c>
      <c r="F69" s="65">
        <v>4830211.7432203293</v>
      </c>
    </row>
    <row r="70" spans="4:11" x14ac:dyDescent="0.25">
      <c r="D70" s="67">
        <v>28</v>
      </c>
      <c r="E70" s="65">
        <v>2281931.1857872009</v>
      </c>
      <c r="F70" s="65">
        <v>941250.27500629425</v>
      </c>
    </row>
    <row r="71" spans="4:11" x14ac:dyDescent="0.25">
      <c r="D71" s="67">
        <v>29</v>
      </c>
      <c r="E71" s="65">
        <v>63781.963250160217</v>
      </c>
      <c r="F71" s="65">
        <v>-1276898.9475307465</v>
      </c>
    </row>
    <row r="72" spans="4:11" x14ac:dyDescent="0.25">
      <c r="D72" s="67">
        <v>30</v>
      </c>
      <c r="E72" s="65">
        <v>143739.4412355423</v>
      </c>
      <c r="F72" s="65">
        <v>-1196941.4695453644</v>
      </c>
    </row>
    <row r="73" spans="4:11" x14ac:dyDescent="0.25">
      <c r="D73" s="67">
        <v>31</v>
      </c>
      <c r="E73" s="65">
        <v>985900.08896160126</v>
      </c>
      <c r="F73" s="65">
        <v>-354780.82181930542</v>
      </c>
    </row>
    <row r="74" spans="4:11" x14ac:dyDescent="0.25">
      <c r="D74" s="67">
        <v>32</v>
      </c>
      <c r="E74" s="65">
        <v>-348386.72637462616</v>
      </c>
      <c r="F74" s="65">
        <v>-1689067.6371555328</v>
      </c>
    </row>
    <row r="75" spans="4:11" x14ac:dyDescent="0.25">
      <c r="D75" s="67">
        <v>33</v>
      </c>
      <c r="E75" s="65">
        <v>-2035490.7923221588</v>
      </c>
      <c r="F75" s="65">
        <v>-3376171.7031030655</v>
      </c>
    </row>
    <row r="76" spans="4:11" x14ac:dyDescent="0.25">
      <c r="D76" s="67">
        <v>34</v>
      </c>
      <c r="E76" s="65">
        <v>-942044.82615089417</v>
      </c>
      <c r="F76" s="65">
        <v>-2282725.7369318008</v>
      </c>
    </row>
    <row r="77" spans="4:11" x14ac:dyDescent="0.25">
      <c r="D77" s="67">
        <v>35</v>
      </c>
      <c r="E77" s="65">
        <v>-1721184.3549757004</v>
      </c>
      <c r="F77" s="65">
        <v>-3061865.2657566071</v>
      </c>
    </row>
    <row r="78" spans="4:11" x14ac:dyDescent="0.25">
      <c r="D78" s="67">
        <v>36</v>
      </c>
      <c r="E78" s="65">
        <v>-2175635.706161499</v>
      </c>
      <c r="F78" s="65">
        <v>-3516316.6169424057</v>
      </c>
    </row>
    <row r="79" spans="4:11" x14ac:dyDescent="0.25">
      <c r="D79" s="67">
        <v>37</v>
      </c>
      <c r="E79" s="65">
        <v>-1800577.782204628</v>
      </c>
      <c r="F79" s="65">
        <v>-3141258.6929855347</v>
      </c>
    </row>
    <row r="80" spans="4:11" x14ac:dyDescent="0.25">
      <c r="D80" s="67">
        <v>38</v>
      </c>
      <c r="E80" s="65">
        <v>4208729.7208900452</v>
      </c>
      <c r="F80" s="65">
        <v>2868048.8101091385</v>
      </c>
    </row>
    <row r="81" spans="4:6" x14ac:dyDescent="0.25">
      <c r="D81" s="67">
        <v>39</v>
      </c>
      <c r="E81" s="65">
        <v>2847996.7246704102</v>
      </c>
      <c r="F81" s="65">
        <v>1507315.8138895035</v>
      </c>
    </row>
    <row r="82" spans="4:6" x14ac:dyDescent="0.25">
      <c r="D82" s="67">
        <v>40</v>
      </c>
      <c r="E82" s="65">
        <v>-30762.207607269287</v>
      </c>
      <c r="F82" s="65">
        <v>-1371443.118388176</v>
      </c>
    </row>
    <row r="83" spans="4:6" x14ac:dyDescent="0.25">
      <c r="D83" s="67">
        <v>41</v>
      </c>
      <c r="E83" s="65">
        <v>4971164.7836408615</v>
      </c>
      <c r="F83" s="65">
        <v>3630483.8728599548</v>
      </c>
    </row>
    <row r="84" spans="4:6" x14ac:dyDescent="0.25">
      <c r="D84" s="67">
        <v>42</v>
      </c>
      <c r="E84" s="65">
        <v>89211.688049316406</v>
      </c>
      <c r="F84" s="65">
        <v>-1251469.2227315903</v>
      </c>
    </row>
    <row r="85" spans="4:6" x14ac:dyDescent="0.25">
      <c r="D85" s="67">
        <v>43</v>
      </c>
      <c r="E85" s="65">
        <v>526280.1672706604</v>
      </c>
      <c r="F85" s="65">
        <v>-814400.74351024628</v>
      </c>
    </row>
    <row r="86" spans="4:6" x14ac:dyDescent="0.25">
      <c r="D86" s="67">
        <v>44</v>
      </c>
      <c r="E86" s="65">
        <v>-6047843.168844223</v>
      </c>
      <c r="F86" s="65">
        <v>-7388524.0796251297</v>
      </c>
    </row>
    <row r="87" spans="4:6" x14ac:dyDescent="0.25">
      <c r="D87" s="67">
        <v>45</v>
      </c>
      <c r="E87" s="65">
        <v>794703.2794008255</v>
      </c>
      <c r="F87" s="65">
        <v>-545977.63138008118</v>
      </c>
    </row>
    <row r="88" spans="4:6" x14ac:dyDescent="0.25">
      <c r="D88" s="67">
        <v>46</v>
      </c>
      <c r="E88" s="65">
        <v>-1420052.2648181915</v>
      </c>
      <c r="F88" s="65">
        <v>-2760733.1755990982</v>
      </c>
    </row>
    <row r="89" spans="4:6" x14ac:dyDescent="0.25">
      <c r="D89" s="67">
        <v>47</v>
      </c>
      <c r="E89" s="65">
        <v>-638701.33090114594</v>
      </c>
      <c r="F89" s="65">
        <v>-1979382.2416820526</v>
      </c>
    </row>
    <row r="90" spans="4:6" x14ac:dyDescent="0.25">
      <c r="D90" s="67">
        <v>48</v>
      </c>
      <c r="E90" s="65">
        <v>9146995.2985467911</v>
      </c>
      <c r="F90" s="65">
        <v>7806314.3877658844</v>
      </c>
    </row>
    <row r="91" spans="4:6" x14ac:dyDescent="0.25">
      <c r="D91" s="67">
        <v>49</v>
      </c>
      <c r="E91" s="65">
        <v>2624819.3744087219</v>
      </c>
      <c r="F91" s="65">
        <v>1284138.4636278152</v>
      </c>
    </row>
    <row r="92" spans="4:6" x14ac:dyDescent="0.25">
      <c r="D92" s="67">
        <v>50</v>
      </c>
      <c r="E92" s="65">
        <v>-142825.53337574005</v>
      </c>
      <c r="F92" s="65">
        <v>-1483506.4441566467</v>
      </c>
    </row>
    <row r="93" spans="4:6" x14ac:dyDescent="0.25">
      <c r="D93" s="67">
        <v>51</v>
      </c>
      <c r="E93" s="65">
        <v>1810114.1289758682</v>
      </c>
      <c r="F93" s="65">
        <v>469433.21819496155</v>
      </c>
    </row>
    <row r="94" spans="4:6" x14ac:dyDescent="0.25">
      <c r="D94" s="67">
        <v>52</v>
      </c>
      <c r="E94" s="65">
        <v>7911400.6700325012</v>
      </c>
      <c r="F94" s="65">
        <v>6570719.7592515945</v>
      </c>
    </row>
    <row r="95" spans="4:6" x14ac:dyDescent="0.25">
      <c r="D95" s="67">
        <v>53</v>
      </c>
      <c r="E95" s="65">
        <v>-485923.96607875824</v>
      </c>
      <c r="F95" s="65">
        <v>-1826604.8768596649</v>
      </c>
    </row>
    <row r="96" spans="4:6" x14ac:dyDescent="0.25">
      <c r="D96" s="67">
        <v>54</v>
      </c>
      <c r="E96" s="65">
        <v>-1337690.7593545914</v>
      </c>
      <c r="F96" s="65">
        <v>-2678371.670135498</v>
      </c>
    </row>
    <row r="97" spans="4:6" x14ac:dyDescent="0.25">
      <c r="D97" s="67">
        <v>55</v>
      </c>
      <c r="E97" s="65">
        <v>-1801638.1624517441</v>
      </c>
      <c r="F97" s="65">
        <v>-3142319.0732326508</v>
      </c>
    </row>
    <row r="98" spans="4:6" x14ac:dyDescent="0.25">
      <c r="D98" s="67">
        <v>56</v>
      </c>
      <c r="E98" s="65">
        <v>-2726136.0957098007</v>
      </c>
      <c r="F98" s="65">
        <v>-4066817.0064907074</v>
      </c>
    </row>
    <row r="99" spans="4:6" x14ac:dyDescent="0.25">
      <c r="D99" s="67">
        <v>57</v>
      </c>
      <c r="E99" s="65">
        <v>1361208.0834531784</v>
      </c>
      <c r="F99" s="65">
        <v>20527.172672271729</v>
      </c>
    </row>
    <row r="100" spans="4:6" x14ac:dyDescent="0.25">
      <c r="D100" s="67">
        <v>58</v>
      </c>
      <c r="E100" s="65">
        <v>1980306.9068069458</v>
      </c>
      <c r="F100" s="65">
        <v>639625.99602603912</v>
      </c>
    </row>
    <row r="101" spans="4:6" x14ac:dyDescent="0.25">
      <c r="D101" s="67">
        <v>59</v>
      </c>
      <c r="E101" s="65">
        <v>-874840.79735183716</v>
      </c>
      <c r="F101" s="65">
        <v>-2215521.7081327438</v>
      </c>
    </row>
    <row r="102" spans="4:6" x14ac:dyDescent="0.25">
      <c r="D102" s="67">
        <v>60</v>
      </c>
      <c r="E102" s="65">
        <v>1126198.9970579147</v>
      </c>
      <c r="F102" s="65">
        <v>-214481.91372299194</v>
      </c>
    </row>
    <row r="103" spans="4:6" x14ac:dyDescent="0.25">
      <c r="D103" s="67">
        <v>61</v>
      </c>
      <c r="E103" s="65">
        <v>-5690750.7627763748</v>
      </c>
      <c r="F103" s="65">
        <v>-7031431.6735572815</v>
      </c>
    </row>
    <row r="104" spans="4:6" x14ac:dyDescent="0.25">
      <c r="D104" s="67">
        <v>62</v>
      </c>
      <c r="E104" s="65">
        <v>-3132142.2936143875</v>
      </c>
      <c r="F104" s="65">
        <v>-4472823.2043952942</v>
      </c>
    </row>
    <row r="105" spans="4:6" x14ac:dyDescent="0.25">
      <c r="D105" s="67">
        <v>63</v>
      </c>
      <c r="E105" s="65">
        <v>1959108.7637605667</v>
      </c>
      <c r="F105" s="65">
        <v>618427.85297966003</v>
      </c>
    </row>
    <row r="106" spans="4:6" x14ac:dyDescent="0.25">
      <c r="D106" s="67">
        <v>64</v>
      </c>
      <c r="E106" s="65">
        <v>3715766.1833963394</v>
      </c>
      <c r="F106" s="65">
        <v>2375085.2726154327</v>
      </c>
    </row>
    <row r="107" spans="4:6" x14ac:dyDescent="0.25">
      <c r="D107" s="67">
        <v>65</v>
      </c>
      <c r="E107" s="65">
        <v>3334915.4648017883</v>
      </c>
      <c r="F107" s="65">
        <v>1994234.5540208817</v>
      </c>
    </row>
    <row r="108" spans="4:6" x14ac:dyDescent="0.25">
      <c r="D108" s="67">
        <v>66</v>
      </c>
      <c r="E108" s="65">
        <v>381045.83627700806</v>
      </c>
      <c r="F108" s="65">
        <v>-959635.07450389862</v>
      </c>
    </row>
    <row r="109" spans="4:6" x14ac:dyDescent="0.25">
      <c r="D109" s="67">
        <v>67</v>
      </c>
      <c r="E109" s="65">
        <v>1548455.8625564575</v>
      </c>
      <c r="F109" s="65">
        <v>207774.95177555084</v>
      </c>
    </row>
    <row r="110" spans="4:6" x14ac:dyDescent="0.25">
      <c r="D110" s="67">
        <v>68</v>
      </c>
      <c r="E110" s="65">
        <v>2039092.7883167267</v>
      </c>
      <c r="F110" s="65">
        <v>698411.87753582001</v>
      </c>
    </row>
    <row r="111" spans="4:6" x14ac:dyDescent="0.25">
      <c r="D111" s="67">
        <v>69</v>
      </c>
      <c r="E111" s="65">
        <v>-4964502.7470149994</v>
      </c>
      <c r="F111" s="65">
        <v>-6305183.6577959061</v>
      </c>
    </row>
    <row r="112" spans="4:6" x14ac:dyDescent="0.25">
      <c r="D112" s="67">
        <v>70</v>
      </c>
      <c r="E112" s="65">
        <v>-2879307.7779655457</v>
      </c>
      <c r="F112" s="65">
        <v>-4219988.6887464523</v>
      </c>
    </row>
    <row r="113" spans="4:6" x14ac:dyDescent="0.25">
      <c r="D113" s="67">
        <v>71</v>
      </c>
      <c r="E113" s="65">
        <v>2637287.0435733795</v>
      </c>
      <c r="F113" s="65">
        <v>1296606.1327924728</v>
      </c>
    </row>
    <row r="114" spans="4:6" x14ac:dyDescent="0.25">
      <c r="D114" s="67">
        <v>72</v>
      </c>
      <c r="E114" s="65">
        <v>-1090172.4907598495</v>
      </c>
      <c r="F114" s="65">
        <v>-2430853.4015407562</v>
      </c>
    </row>
    <row r="115" spans="4:6" x14ac:dyDescent="0.25">
      <c r="D115" s="67">
        <v>73</v>
      </c>
      <c r="E115" s="65">
        <v>-1019048.3036184311</v>
      </c>
      <c r="F115" s="65">
        <v>-2359729.2143993378</v>
      </c>
    </row>
    <row r="116" spans="4:6" x14ac:dyDescent="0.25">
      <c r="D116" s="67">
        <v>74</v>
      </c>
      <c r="E116" s="65">
        <v>-3611263.8525743484</v>
      </c>
      <c r="F116" s="65">
        <v>-4951944.7633552551</v>
      </c>
    </row>
    <row r="117" spans="4:6" x14ac:dyDescent="0.25">
      <c r="D117" s="67">
        <v>75</v>
      </c>
      <c r="E117" s="65">
        <v>-115339.52907466888</v>
      </c>
      <c r="F117" s="65">
        <v>-1456020.4398555756</v>
      </c>
    </row>
    <row r="118" spans="4:6" x14ac:dyDescent="0.25">
      <c r="D118" s="67">
        <v>76</v>
      </c>
      <c r="E118" s="65">
        <v>2611711.6859169006</v>
      </c>
      <c r="F118" s="65">
        <v>1271030.775135994</v>
      </c>
    </row>
    <row r="119" spans="4:6" x14ac:dyDescent="0.25">
      <c r="D119" s="67">
        <v>77</v>
      </c>
      <c r="E119" s="65">
        <v>1540326.2789726257</v>
      </c>
      <c r="F119" s="65">
        <v>199645.36819171906</v>
      </c>
    </row>
    <row r="120" spans="4:6" x14ac:dyDescent="0.25">
      <c r="D120" s="67">
        <v>78</v>
      </c>
      <c r="E120" s="65">
        <v>4024277.5935840607</v>
      </c>
      <c r="F120" s="65">
        <v>2683596.682803154</v>
      </c>
    </row>
    <row r="121" spans="4:6" x14ac:dyDescent="0.25">
      <c r="D121" s="67">
        <v>79</v>
      </c>
      <c r="E121" s="65">
        <v>-2426145.9831924438</v>
      </c>
      <c r="F121" s="65">
        <v>-3766826.8939733505</v>
      </c>
    </row>
    <row r="122" spans="4:6" x14ac:dyDescent="0.25">
      <c r="D122" s="67">
        <v>80</v>
      </c>
      <c r="E122" s="65">
        <v>-5292135.2206468582</v>
      </c>
      <c r="F122" s="65">
        <v>-6632816.1314277649</v>
      </c>
    </row>
    <row r="123" spans="4:6" x14ac:dyDescent="0.25">
      <c r="D123" s="67">
        <v>81</v>
      </c>
      <c r="E123" s="65">
        <v>-920180.76634502411</v>
      </c>
      <c r="F123" s="65">
        <v>-2260861.6771259308</v>
      </c>
    </row>
    <row r="124" spans="4:6" x14ac:dyDescent="0.25">
      <c r="D124" s="67">
        <v>82</v>
      </c>
      <c r="E124" s="65">
        <v>442163.35588169098</v>
      </c>
      <c r="F124" s="65">
        <v>-898517.5548992157</v>
      </c>
    </row>
    <row r="125" spans="4:6" x14ac:dyDescent="0.25">
      <c r="D125" s="67">
        <v>83</v>
      </c>
      <c r="E125" s="65">
        <v>3440386.9736433029</v>
      </c>
      <c r="F125" s="65">
        <v>2099706.0628623962</v>
      </c>
    </row>
    <row r="126" spans="4:6" x14ac:dyDescent="0.25">
      <c r="D126" s="67">
        <v>84</v>
      </c>
      <c r="E126" s="65">
        <v>6930492.4834899902</v>
      </c>
      <c r="F126" s="65">
        <v>5589811.5727090836</v>
      </c>
    </row>
    <row r="127" spans="4:6" x14ac:dyDescent="0.25">
      <c r="D127" s="67">
        <v>85</v>
      </c>
      <c r="E127" s="65">
        <v>-859887.4781665802</v>
      </c>
      <c r="F127" s="65">
        <v>-2200568.3889474869</v>
      </c>
    </row>
    <row r="128" spans="4:6" x14ac:dyDescent="0.25">
      <c r="D128" s="67">
        <v>86</v>
      </c>
      <c r="E128" s="65">
        <v>-1155412.3003759384</v>
      </c>
      <c r="F128" s="65">
        <v>-2496093.2111568451</v>
      </c>
    </row>
    <row r="129" spans="4:6" x14ac:dyDescent="0.25">
      <c r="D129" s="67">
        <v>87</v>
      </c>
      <c r="E129" s="65">
        <v>7618963.6896505356</v>
      </c>
      <c r="F129" s="65">
        <v>6278282.7788696289</v>
      </c>
    </row>
    <row r="130" spans="4:6" x14ac:dyDescent="0.25">
      <c r="D130" s="67">
        <v>88</v>
      </c>
      <c r="E130" s="65">
        <v>-3809376.049861908</v>
      </c>
      <c r="F130" s="65">
        <v>-5150056.9606428146</v>
      </c>
    </row>
    <row r="131" spans="4:6" x14ac:dyDescent="0.25">
      <c r="D131" s="67">
        <v>89</v>
      </c>
      <c r="E131" s="65">
        <v>-1969277.3604640961</v>
      </c>
      <c r="F131" s="65">
        <v>-3309958.2712450027</v>
      </c>
    </row>
    <row r="132" spans="4:6" x14ac:dyDescent="0.25">
      <c r="D132" s="67">
        <v>90</v>
      </c>
      <c r="E132" s="65">
        <v>-5900700.1213970184</v>
      </c>
      <c r="F132" s="65">
        <v>-7241381.0321779251</v>
      </c>
    </row>
    <row r="133" spans="4:6" x14ac:dyDescent="0.25">
      <c r="D133" s="67">
        <v>91</v>
      </c>
      <c r="E133" s="65">
        <v>5192482.8193969727</v>
      </c>
      <c r="F133" s="65">
        <v>3851801.908616066</v>
      </c>
    </row>
    <row r="134" spans="4:6" x14ac:dyDescent="0.25">
      <c r="D134" s="67">
        <v>92</v>
      </c>
      <c r="E134" s="65">
        <v>677485.2991065979</v>
      </c>
      <c r="F134" s="65">
        <v>-663195.61167430878</v>
      </c>
    </row>
    <row r="135" spans="4:6" x14ac:dyDescent="0.25">
      <c r="D135" s="67">
        <v>93</v>
      </c>
      <c r="E135" s="65">
        <v>-2325433.8334035873</v>
      </c>
      <c r="F135" s="65">
        <v>-3666114.744184494</v>
      </c>
    </row>
    <row r="136" spans="4:6" x14ac:dyDescent="0.25">
      <c r="D136" s="67">
        <v>94</v>
      </c>
      <c r="E136" s="65">
        <v>-3783367.6771430969</v>
      </c>
      <c r="F136" s="65">
        <v>-5124048.5879240036</v>
      </c>
    </row>
    <row r="137" spans="4:6" x14ac:dyDescent="0.25">
      <c r="D137" s="67">
        <v>95</v>
      </c>
      <c r="E137" s="65">
        <v>-2512992.3815288544</v>
      </c>
      <c r="F137" s="65">
        <v>-3853673.292309761</v>
      </c>
    </row>
    <row r="138" spans="4:6" x14ac:dyDescent="0.25">
      <c r="D138" s="67">
        <v>96</v>
      </c>
      <c r="E138" s="65">
        <v>-5294164.2617015839</v>
      </c>
      <c r="F138" s="65">
        <v>-6634845.1724824905</v>
      </c>
    </row>
    <row r="139" spans="4:6" x14ac:dyDescent="0.25">
      <c r="D139" s="67">
        <v>97</v>
      </c>
      <c r="E139" s="65">
        <v>1151077.0413160324</v>
      </c>
      <c r="F139" s="65">
        <v>-189603.86946487427</v>
      </c>
    </row>
    <row r="140" spans="4:6" x14ac:dyDescent="0.25">
      <c r="D140" s="67">
        <v>98</v>
      </c>
      <c r="E140" s="65">
        <v>-5919302.8770284653</v>
      </c>
      <c r="F140" s="65">
        <v>-7259983.7878093719</v>
      </c>
    </row>
    <row r="141" spans="4:6" x14ac:dyDescent="0.25">
      <c r="D141" s="67">
        <v>99</v>
      </c>
      <c r="E141" s="65">
        <v>-4441564.8480644226</v>
      </c>
      <c r="F141" s="65">
        <v>-5782245.7588453293</v>
      </c>
    </row>
    <row r="142" spans="4:6" x14ac:dyDescent="0.25">
      <c r="D142" s="67">
        <v>100</v>
      </c>
      <c r="E142" s="65">
        <v>-2531805.0193462372</v>
      </c>
      <c r="F142" s="65">
        <v>-3872485.9301271439</v>
      </c>
    </row>
    <row r="143" spans="4:6" x14ac:dyDescent="0.25">
      <c r="D143" s="67">
        <v>101</v>
      </c>
      <c r="E143" s="65">
        <v>-3976482.2251338959</v>
      </c>
      <c r="F143" s="65">
        <v>-5317163.1359148026</v>
      </c>
    </row>
    <row r="144" spans="4:6" x14ac:dyDescent="0.25">
      <c r="D144" s="67">
        <v>102</v>
      </c>
      <c r="E144" s="65">
        <v>-3219506.2296571732</v>
      </c>
      <c r="F144" s="65">
        <v>-4560187.1404380798</v>
      </c>
    </row>
    <row r="145" spans="4:6" x14ac:dyDescent="0.25">
      <c r="D145" s="67">
        <v>103</v>
      </c>
      <c r="E145" s="65">
        <v>4212262.2960577011</v>
      </c>
      <c r="F145" s="65">
        <v>2871581.3852767944</v>
      </c>
    </row>
    <row r="146" spans="4:6" x14ac:dyDescent="0.25">
      <c r="D146" s="67">
        <v>104</v>
      </c>
      <c r="E146" s="65">
        <v>-399306.86211013794</v>
      </c>
      <c r="F146" s="65">
        <v>-1739987.7728910446</v>
      </c>
    </row>
    <row r="147" spans="4:6" x14ac:dyDescent="0.25">
      <c r="D147" s="67">
        <v>105</v>
      </c>
      <c r="E147" s="65">
        <v>4155794.8096122742</v>
      </c>
      <c r="F147" s="65">
        <v>2815113.8988313675</v>
      </c>
    </row>
    <row r="148" spans="4:6" x14ac:dyDescent="0.25">
      <c r="D148" s="67">
        <v>106</v>
      </c>
      <c r="E148" s="65">
        <v>2837885.2106466293</v>
      </c>
      <c r="F148" s="65">
        <v>1497204.2998657227</v>
      </c>
    </row>
    <row r="149" spans="4:6" x14ac:dyDescent="0.25">
      <c r="D149" s="67">
        <v>107</v>
      </c>
      <c r="E149" s="65">
        <v>-14275.222820281982</v>
      </c>
      <c r="F149" s="65">
        <v>-1354956.1336011887</v>
      </c>
    </row>
    <row r="150" spans="4:6" x14ac:dyDescent="0.25">
      <c r="D150" s="67">
        <v>108</v>
      </c>
      <c r="E150" s="65">
        <v>-267923.01788139343</v>
      </c>
      <c r="F150" s="65">
        <v>-1608603.9286623001</v>
      </c>
    </row>
    <row r="151" spans="4:6" x14ac:dyDescent="0.25">
      <c r="D151" s="67">
        <v>109</v>
      </c>
      <c r="E151" s="65">
        <v>213762.93219566345</v>
      </c>
      <c r="F151" s="65">
        <v>-1126917.9785852432</v>
      </c>
    </row>
    <row r="152" spans="4:6" x14ac:dyDescent="0.25">
      <c r="D152" s="67">
        <v>110</v>
      </c>
      <c r="E152" s="65">
        <v>96298.972259521484</v>
      </c>
      <c r="F152" s="65">
        <v>-1244381.9385213852</v>
      </c>
    </row>
    <row r="153" spans="4:6" x14ac:dyDescent="0.25">
      <c r="D153" s="67">
        <v>111</v>
      </c>
      <c r="E153" s="65">
        <v>3722515.247926712</v>
      </c>
      <c r="F153" s="65">
        <v>2381834.3371458054</v>
      </c>
    </row>
    <row r="154" spans="4:6" x14ac:dyDescent="0.25">
      <c r="D154" s="67">
        <v>112</v>
      </c>
      <c r="E154" s="65">
        <v>8648946.1013917923</v>
      </c>
      <c r="F154" s="65">
        <v>7308265.1906108856</v>
      </c>
    </row>
    <row r="155" spans="4:6" x14ac:dyDescent="0.25">
      <c r="D155" s="67">
        <v>113</v>
      </c>
      <c r="E155" s="65">
        <v>1474239.7795295715</v>
      </c>
      <c r="F155" s="65">
        <v>133558.86874866486</v>
      </c>
    </row>
    <row r="156" spans="4:6" x14ac:dyDescent="0.25">
      <c r="D156" s="67">
        <v>114</v>
      </c>
      <c r="E156" s="65">
        <v>-2815364.8307905197</v>
      </c>
      <c r="F156" s="65">
        <v>-4156045.7415714264</v>
      </c>
    </row>
    <row r="157" spans="4:6" x14ac:dyDescent="0.25">
      <c r="D157" s="67">
        <v>115</v>
      </c>
      <c r="E157" s="65">
        <v>-1881631.7770080566</v>
      </c>
      <c r="F157" s="65">
        <v>-3222312.6877889633</v>
      </c>
    </row>
    <row r="158" spans="4:6" x14ac:dyDescent="0.25">
      <c r="D158" s="67">
        <v>116</v>
      </c>
      <c r="E158" s="65">
        <v>-11311605.307423592</v>
      </c>
      <c r="F158" s="65">
        <v>-12652286.218204498</v>
      </c>
    </row>
    <row r="159" spans="4:6" x14ac:dyDescent="0.25">
      <c r="D159" s="67">
        <v>117</v>
      </c>
      <c r="E159" s="65">
        <v>502140.77084541321</v>
      </c>
      <c r="F159" s="65">
        <v>-838540.13993549347</v>
      </c>
    </row>
    <row r="160" spans="4:6" x14ac:dyDescent="0.25">
      <c r="D160" s="67">
        <v>118</v>
      </c>
      <c r="E160" s="65">
        <v>-6362185.6888504028</v>
      </c>
      <c r="F160" s="65">
        <v>-7702866.5996313095</v>
      </c>
    </row>
    <row r="161" spans="4:6" x14ac:dyDescent="0.25">
      <c r="D161" s="67">
        <v>119</v>
      </c>
      <c r="E161" s="65">
        <v>-7694533.2018327713</v>
      </c>
      <c r="F161" s="65">
        <v>-9035214.112613678</v>
      </c>
    </row>
    <row r="162" spans="4:6" x14ac:dyDescent="0.25">
      <c r="D162" s="67">
        <v>120</v>
      </c>
      <c r="E162" s="65">
        <v>-5267144.0821361542</v>
      </c>
      <c r="F162" s="65">
        <v>-6607824.9929170609</v>
      </c>
    </row>
    <row r="163" spans="4:6" x14ac:dyDescent="0.25">
      <c r="D163" s="67">
        <v>121</v>
      </c>
      <c r="E163" s="65">
        <v>6034661.5873069763</v>
      </c>
      <c r="F163" s="65">
        <v>4693980.6765260696</v>
      </c>
    </row>
    <row r="164" spans="4:6" x14ac:dyDescent="0.25">
      <c r="D164" s="67">
        <v>122</v>
      </c>
      <c r="E164" s="65">
        <v>-5086738.771569252</v>
      </c>
      <c r="F164" s="65">
        <v>-6427419.6823501587</v>
      </c>
    </row>
    <row r="165" spans="4:6" x14ac:dyDescent="0.25">
      <c r="D165" s="67">
        <v>123</v>
      </c>
      <c r="E165" s="65">
        <v>-6143126.8151493073</v>
      </c>
      <c r="F165" s="65">
        <v>-7483807.7259302139</v>
      </c>
    </row>
    <row r="166" spans="4:6" x14ac:dyDescent="0.25">
      <c r="D166" s="67">
        <v>124</v>
      </c>
      <c r="E166" s="65">
        <v>2874573.4558105469</v>
      </c>
      <c r="F166" s="65">
        <v>1533892.5450296402</v>
      </c>
    </row>
    <row r="167" spans="4:6" x14ac:dyDescent="0.25">
      <c r="D167" s="67">
        <v>125</v>
      </c>
      <c r="E167" s="65">
        <v>-4299858.9114637375</v>
      </c>
      <c r="F167" s="65">
        <v>-5640539.8222446442</v>
      </c>
    </row>
    <row r="168" spans="4:6" x14ac:dyDescent="0.25">
      <c r="D168" s="67">
        <v>126</v>
      </c>
      <c r="E168" s="65">
        <v>-1799566.0960359573</v>
      </c>
      <c r="F168" s="65">
        <v>-3140247.006816864</v>
      </c>
    </row>
    <row r="169" spans="4:6" x14ac:dyDescent="0.25">
      <c r="D169" s="67">
        <v>127</v>
      </c>
      <c r="E169" s="65">
        <v>-7774420.1248493195</v>
      </c>
      <c r="F169" s="65">
        <v>-9115101.0356302261</v>
      </c>
    </row>
    <row r="170" spans="4:6" x14ac:dyDescent="0.25">
      <c r="D170" s="67">
        <v>128</v>
      </c>
      <c r="E170" s="65">
        <v>-714279.76161766052</v>
      </c>
      <c r="F170" s="65">
        <v>-2054960.6723985672</v>
      </c>
    </row>
    <row r="171" spans="4:6" x14ac:dyDescent="0.25">
      <c r="D171" s="67">
        <v>129</v>
      </c>
      <c r="E171" s="65">
        <v>-2101998.7174196243</v>
      </c>
      <c r="F171" s="65">
        <v>-3442679.628200531</v>
      </c>
    </row>
    <row r="172" spans="4:6" x14ac:dyDescent="0.25">
      <c r="D172" s="67">
        <v>130</v>
      </c>
      <c r="E172" s="65">
        <v>-6650283.8323516846</v>
      </c>
      <c r="F172" s="65">
        <v>-7990964.7431325912</v>
      </c>
    </row>
    <row r="173" spans="4:6" x14ac:dyDescent="0.25">
      <c r="D173" s="67">
        <v>131</v>
      </c>
      <c r="E173" s="65">
        <v>9723666.0193824768</v>
      </c>
      <c r="F173" s="65">
        <v>8382985.1086015701</v>
      </c>
    </row>
    <row r="174" spans="4:6" x14ac:dyDescent="0.25">
      <c r="D174" s="67">
        <v>132</v>
      </c>
      <c r="E174" s="65">
        <v>-12482295.749341965</v>
      </c>
      <c r="F174" s="65">
        <v>-13822976.660122871</v>
      </c>
    </row>
    <row r="175" spans="4:6" x14ac:dyDescent="0.25">
      <c r="D175" s="67">
        <v>133</v>
      </c>
      <c r="E175" s="65">
        <v>5070645.0885238647</v>
      </c>
      <c r="F175" s="65">
        <v>3729964.1777429581</v>
      </c>
    </row>
    <row r="176" spans="4:6" x14ac:dyDescent="0.25">
      <c r="D176" s="67">
        <v>134</v>
      </c>
      <c r="E176" s="65">
        <v>-13601066.788747787</v>
      </c>
      <c r="F176" s="65">
        <v>-14941747.699528694</v>
      </c>
    </row>
    <row r="177" spans="4:6" x14ac:dyDescent="0.25">
      <c r="D177" s="67">
        <v>135</v>
      </c>
      <c r="E177" s="65">
        <v>16493965.510836601</v>
      </c>
      <c r="F177" s="65">
        <v>15153284.600055695</v>
      </c>
    </row>
    <row r="178" spans="4:6" x14ac:dyDescent="0.25">
      <c r="D178" s="67">
        <v>136</v>
      </c>
      <c r="E178" s="65">
        <v>18784452.058171272</v>
      </c>
      <c r="F178" s="65">
        <v>17443771.147390366</v>
      </c>
    </row>
    <row r="179" spans="4:6" x14ac:dyDescent="0.25">
      <c r="D179" s="67">
        <v>137</v>
      </c>
      <c r="E179" s="65">
        <v>16027.747625350952</v>
      </c>
      <c r="F179" s="65">
        <v>-1324653.1631555557</v>
      </c>
    </row>
    <row r="180" spans="4:6" x14ac:dyDescent="0.25">
      <c r="D180" s="67">
        <v>138</v>
      </c>
      <c r="E180" s="65">
        <v>2720166.2724065781</v>
      </c>
      <c r="F180" s="65">
        <v>1379485.3616256714</v>
      </c>
    </row>
    <row r="181" spans="4:6" x14ac:dyDescent="0.25">
      <c r="D181" s="67">
        <v>139</v>
      </c>
      <c r="E181" s="65">
        <v>-6836640.8798770905</v>
      </c>
      <c r="F181" s="65">
        <v>-8177321.7906579971</v>
      </c>
    </row>
    <row r="182" spans="4:6" x14ac:dyDescent="0.25">
      <c r="D182" s="67">
        <v>140</v>
      </c>
      <c r="E182" s="65">
        <v>-1454654.0217056274</v>
      </c>
      <c r="F182" s="65">
        <v>-2795334.9324865341</v>
      </c>
    </row>
    <row r="183" spans="4:6" x14ac:dyDescent="0.25">
      <c r="D183" s="67">
        <v>141</v>
      </c>
      <c r="E183" s="65">
        <v>-1022635.5000276566</v>
      </c>
      <c r="F183" s="65">
        <v>-2363316.4108085632</v>
      </c>
    </row>
    <row r="184" spans="4:6" x14ac:dyDescent="0.25">
      <c r="D184" s="67">
        <v>142</v>
      </c>
      <c r="E184" s="65">
        <v>4475475.8024215698</v>
      </c>
      <c r="F184" s="65">
        <v>3134794.8916406631</v>
      </c>
    </row>
    <row r="185" spans="4:6" x14ac:dyDescent="0.25">
      <c r="D185" s="67">
        <v>143</v>
      </c>
      <c r="E185" s="65">
        <v>8303650.3322305679</v>
      </c>
      <c r="F185" s="65">
        <v>6962969.4214496613</v>
      </c>
    </row>
    <row r="186" spans="4:6" x14ac:dyDescent="0.25">
      <c r="D186" s="67">
        <v>144</v>
      </c>
      <c r="E186" s="65">
        <v>-2619141.836180687</v>
      </c>
      <c r="F186" s="65">
        <v>-3959822.7469615936</v>
      </c>
    </row>
    <row r="187" spans="4:6" x14ac:dyDescent="0.25">
      <c r="D187" s="67">
        <v>145</v>
      </c>
      <c r="E187" s="65">
        <v>-1877233.881275177</v>
      </c>
      <c r="F187" s="65">
        <v>-3217914.7920560837</v>
      </c>
    </row>
    <row r="188" spans="4:6" x14ac:dyDescent="0.25">
      <c r="D188" s="67">
        <v>146</v>
      </c>
      <c r="E188" s="65">
        <v>-3518426.5913352966</v>
      </c>
      <c r="F188" s="65">
        <v>-4859107.5021162033</v>
      </c>
    </row>
    <row r="189" spans="4:6" x14ac:dyDescent="0.25">
      <c r="D189" s="67">
        <v>147</v>
      </c>
      <c r="E189" s="65">
        <v>5337482.392036438</v>
      </c>
      <c r="F189" s="65">
        <v>3996801.4812555313</v>
      </c>
    </row>
    <row r="190" spans="4:6" x14ac:dyDescent="0.25">
      <c r="D190" s="67">
        <v>148</v>
      </c>
      <c r="E190" s="65">
        <v>-4056503.0236978531</v>
      </c>
      <c r="F190" s="65">
        <v>-5397183.9344787598</v>
      </c>
    </row>
    <row r="191" spans="4:6" x14ac:dyDescent="0.25">
      <c r="D191" s="67">
        <v>149</v>
      </c>
      <c r="E191" s="65">
        <v>-5389891.7087888718</v>
      </c>
      <c r="F191" s="65">
        <v>-6730572.6195697784</v>
      </c>
    </row>
    <row r="192" spans="4:6" x14ac:dyDescent="0.25">
      <c r="D192" s="67">
        <v>150</v>
      </c>
      <c r="E192" s="65">
        <v>-331694.50520324707</v>
      </c>
      <c r="F192" s="65">
        <v>-1672375.4159841537</v>
      </c>
    </row>
    <row r="193" spans="4:6" x14ac:dyDescent="0.25">
      <c r="D193" s="67">
        <v>151</v>
      </c>
      <c r="E193" s="65">
        <v>-220798.60450458527</v>
      </c>
      <c r="F193" s="65">
        <v>-1561479.5152854919</v>
      </c>
    </row>
    <row r="194" spans="4:6" x14ac:dyDescent="0.25">
      <c r="D194" s="67">
        <v>152</v>
      </c>
      <c r="E194" s="65">
        <v>-1762544.8425989151</v>
      </c>
      <c r="F194" s="65">
        <v>-3103225.7533798218</v>
      </c>
    </row>
    <row r="195" spans="4:6" x14ac:dyDescent="0.25">
      <c r="D195" s="67">
        <v>153</v>
      </c>
      <c r="E195" s="65">
        <v>5853984.8099393845</v>
      </c>
      <c r="F195" s="65">
        <v>4513303.8991584778</v>
      </c>
    </row>
    <row r="196" spans="4:6" x14ac:dyDescent="0.25">
      <c r="D196" s="67">
        <v>154</v>
      </c>
      <c r="E196" s="65">
        <v>-6595055.9424953461</v>
      </c>
      <c r="F196" s="65">
        <v>-7935736.8532762527</v>
      </c>
    </row>
    <row r="197" spans="4:6" x14ac:dyDescent="0.25">
      <c r="D197" s="67">
        <v>155</v>
      </c>
      <c r="E197" s="65">
        <v>270294.7410736084</v>
      </c>
      <c r="F197" s="65">
        <v>-1070386.1697072983</v>
      </c>
    </row>
    <row r="198" spans="4:6" x14ac:dyDescent="0.25">
      <c r="D198" s="67">
        <v>156</v>
      </c>
      <c r="E198" s="65">
        <v>591495.13704872131</v>
      </c>
      <c r="F198" s="65">
        <v>-749185.77373218536</v>
      </c>
    </row>
    <row r="199" spans="4:6" x14ac:dyDescent="0.25">
      <c r="D199" s="67">
        <v>157</v>
      </c>
      <c r="E199" s="65">
        <v>-4381353.5762500763</v>
      </c>
      <c r="F199" s="65">
        <v>-5722034.487030983</v>
      </c>
    </row>
    <row r="200" spans="4:6" x14ac:dyDescent="0.25">
      <c r="D200" s="67">
        <v>158</v>
      </c>
      <c r="E200" s="65">
        <v>-1962647.8143091202</v>
      </c>
      <c r="F200" s="65">
        <v>-3303328.7250900269</v>
      </c>
    </row>
    <row r="201" spans="4:6" x14ac:dyDescent="0.25">
      <c r="D201" s="67">
        <v>159</v>
      </c>
      <c r="E201" s="65">
        <v>-2986741.8014030457</v>
      </c>
      <c r="F201" s="65">
        <v>-4327422.7121839523</v>
      </c>
    </row>
    <row r="202" spans="4:6" x14ac:dyDescent="0.25">
      <c r="D202" s="67">
        <v>160</v>
      </c>
      <c r="E202" s="65">
        <v>5892838.8749952316</v>
      </c>
      <c r="F202" s="65">
        <v>4552157.964214325</v>
      </c>
    </row>
    <row r="203" spans="4:6" x14ac:dyDescent="0.25">
      <c r="D203" s="67">
        <v>161</v>
      </c>
      <c r="E203" s="65">
        <v>-5976986.6669206619</v>
      </c>
      <c r="F203" s="65">
        <v>-7317667.5777015686</v>
      </c>
    </row>
    <row r="204" spans="4:6" x14ac:dyDescent="0.25">
      <c r="D204" s="67">
        <v>162</v>
      </c>
      <c r="E204" s="65">
        <v>-10417755.38576889</v>
      </c>
      <c r="F204" s="65">
        <v>-11758436.296549797</v>
      </c>
    </row>
    <row r="205" spans="4:6" x14ac:dyDescent="0.25">
      <c r="D205" s="67">
        <v>163</v>
      </c>
      <c r="E205" s="65">
        <v>3737276.740981102</v>
      </c>
      <c r="F205" s="65">
        <v>2396595.8302001953</v>
      </c>
    </row>
    <row r="206" spans="4:6" x14ac:dyDescent="0.25">
      <c r="D206" s="67">
        <v>164</v>
      </c>
      <c r="E206" s="65">
        <v>13522728.068684578</v>
      </c>
      <c r="F206" s="65">
        <v>12182047.157903671</v>
      </c>
    </row>
    <row r="207" spans="4:6" x14ac:dyDescent="0.25">
      <c r="D207" s="67">
        <v>165</v>
      </c>
      <c r="E207" s="65">
        <v>3551096.7328691483</v>
      </c>
      <c r="F207" s="65">
        <v>2210415.8220882416</v>
      </c>
    </row>
    <row r="208" spans="4:6" x14ac:dyDescent="0.25">
      <c r="D208" s="67">
        <v>166</v>
      </c>
      <c r="E208" s="65">
        <v>5573959.1199359894</v>
      </c>
      <c r="F208" s="65">
        <v>4233278.2091550827</v>
      </c>
    </row>
    <row r="209" spans="4:6" x14ac:dyDescent="0.25">
      <c r="D209" s="67">
        <v>167</v>
      </c>
      <c r="E209" s="65">
        <v>-84334.957214355469</v>
      </c>
      <c r="F209" s="65">
        <v>-1425015.8679952621</v>
      </c>
    </row>
    <row r="210" spans="4:6" x14ac:dyDescent="0.25">
      <c r="D210" s="67">
        <v>168</v>
      </c>
      <c r="E210" s="65">
        <v>-2169187.9448623657</v>
      </c>
      <c r="F210" s="65">
        <v>-3509868.8556432724</v>
      </c>
    </row>
    <row r="211" spans="4:6" x14ac:dyDescent="0.25">
      <c r="D211" s="67">
        <v>169</v>
      </c>
      <c r="E211" s="65">
        <v>2413954.7501831055</v>
      </c>
      <c r="F211" s="65">
        <v>1073273.8394021988</v>
      </c>
    </row>
    <row r="212" spans="4:6" x14ac:dyDescent="0.25">
      <c r="D212" s="67">
        <v>170</v>
      </c>
      <c r="E212" s="65">
        <v>-4324841.3329238892</v>
      </c>
      <c r="F212" s="65">
        <v>-5665522.2437047958</v>
      </c>
    </row>
    <row r="213" spans="4:6" x14ac:dyDescent="0.25">
      <c r="D213" s="67">
        <v>171</v>
      </c>
      <c r="E213" s="65">
        <v>-10816549.388752937</v>
      </c>
      <c r="F213" s="65">
        <v>-12157230.299533844</v>
      </c>
    </row>
    <row r="214" spans="4:6" x14ac:dyDescent="0.25">
      <c r="D214" s="67">
        <v>172</v>
      </c>
      <c r="E214" s="65">
        <v>-1119000.1702461243</v>
      </c>
      <c r="F214" s="65">
        <v>-2459681.0810270309</v>
      </c>
    </row>
    <row r="215" spans="4:6" x14ac:dyDescent="0.25">
      <c r="D215" s="67">
        <v>173</v>
      </c>
      <c r="E215" s="65">
        <v>-7233710.0940160751</v>
      </c>
      <c r="F215" s="65">
        <v>-8574391.0047969818</v>
      </c>
    </row>
    <row r="216" spans="4:6" x14ac:dyDescent="0.25">
      <c r="D216" s="67">
        <v>174</v>
      </c>
      <c r="E216" s="65">
        <v>14703809.395338058</v>
      </c>
      <c r="F216" s="65">
        <v>13363128.484557152</v>
      </c>
    </row>
    <row r="217" spans="4:6" x14ac:dyDescent="0.25">
      <c r="D217" s="67">
        <v>175</v>
      </c>
      <c r="E217" s="65">
        <v>607456.33351612091</v>
      </c>
      <c r="F217" s="65">
        <v>-733224.57726478577</v>
      </c>
    </row>
    <row r="218" spans="4:6" x14ac:dyDescent="0.25">
      <c r="D218" s="67">
        <v>176</v>
      </c>
      <c r="E218" s="65">
        <v>-14734987.692865372</v>
      </c>
      <c r="F218" s="65">
        <v>-16075668.603646278</v>
      </c>
    </row>
    <row r="219" spans="4:6" x14ac:dyDescent="0.25">
      <c r="D219" s="67">
        <v>177</v>
      </c>
      <c r="E219" s="65">
        <v>-12489910.535999298</v>
      </c>
      <c r="F219" s="65">
        <v>-13830591.446780205</v>
      </c>
    </row>
    <row r="220" spans="4:6" x14ac:dyDescent="0.25">
      <c r="D220" s="67">
        <v>178</v>
      </c>
      <c r="E220" s="65">
        <v>14021580.036462784</v>
      </c>
      <c r="F220" s="65">
        <v>12680899.125681877</v>
      </c>
    </row>
    <row r="221" spans="4:6" x14ac:dyDescent="0.25">
      <c r="D221" s="67">
        <v>179</v>
      </c>
      <c r="E221" s="65">
        <v>8802790.4709711075</v>
      </c>
      <c r="F221" s="65">
        <v>7462109.5601902008</v>
      </c>
    </row>
    <row r="222" spans="4:6" x14ac:dyDescent="0.25">
      <c r="D222" s="67">
        <v>180</v>
      </c>
      <c r="E222" s="65">
        <v>1789266.8621072769</v>
      </c>
      <c r="F222" s="65">
        <v>448585.95132637024</v>
      </c>
    </row>
    <row r="223" spans="4:6" x14ac:dyDescent="0.25">
      <c r="D223" s="67">
        <v>181</v>
      </c>
      <c r="E223" s="65">
        <v>-10214957.087759018</v>
      </c>
      <c r="F223" s="65">
        <v>-11555637.998539925</v>
      </c>
    </row>
    <row r="224" spans="4:6" x14ac:dyDescent="0.25">
      <c r="D224" s="67">
        <v>182</v>
      </c>
      <c r="E224" s="65">
        <v>-2941378.7373418808</v>
      </c>
      <c r="F224" s="65">
        <v>-4282059.6481227875</v>
      </c>
    </row>
    <row r="225" spans="4:6" x14ac:dyDescent="0.25">
      <c r="D225" s="67">
        <v>183</v>
      </c>
      <c r="E225" s="65">
        <v>-2821498.8705558777</v>
      </c>
      <c r="F225" s="65">
        <v>-4162179.7813367844</v>
      </c>
    </row>
    <row r="226" spans="4:6" x14ac:dyDescent="0.25">
      <c r="D226" s="67">
        <v>184</v>
      </c>
      <c r="E226" s="65">
        <v>4741585.8588399887</v>
      </c>
      <c r="F226" s="65">
        <v>3400904.948059082</v>
      </c>
    </row>
    <row r="227" spans="4:6" x14ac:dyDescent="0.25">
      <c r="D227" s="67">
        <v>185</v>
      </c>
      <c r="E227" s="65">
        <v>-7448427.4345378876</v>
      </c>
      <c r="F227" s="65">
        <v>-8789108.3453187943</v>
      </c>
    </row>
    <row r="228" spans="4:6" x14ac:dyDescent="0.25">
      <c r="D228" s="67">
        <v>186</v>
      </c>
      <c r="E228" s="65">
        <v>4447318.9494180679</v>
      </c>
      <c r="F228" s="65">
        <v>3106638.0386371613</v>
      </c>
    </row>
    <row r="229" spans="4:6" x14ac:dyDescent="0.25">
      <c r="D229" s="67">
        <v>187</v>
      </c>
      <c r="E229" s="65">
        <v>8410249.0367822647</v>
      </c>
      <c r="F229" s="65">
        <v>7069568.126001358</v>
      </c>
    </row>
    <row r="230" spans="4:6" x14ac:dyDescent="0.25">
      <c r="D230" s="67">
        <v>188</v>
      </c>
      <c r="E230" s="65">
        <v>-5047330.2363424301</v>
      </c>
      <c r="F230" s="65">
        <v>-6388011.1471233368</v>
      </c>
    </row>
    <row r="231" spans="4:6" x14ac:dyDescent="0.25">
      <c r="D231" s="67">
        <v>189</v>
      </c>
      <c r="E231" s="65">
        <v>1189103.160243988</v>
      </c>
      <c r="F231" s="65">
        <v>-151577.75053691864</v>
      </c>
    </row>
    <row r="232" spans="4:6" x14ac:dyDescent="0.25">
      <c r="D232" s="67">
        <v>190</v>
      </c>
      <c r="E232" s="65">
        <v>11254316.361197472</v>
      </c>
      <c r="F232" s="65">
        <v>9913635.4504165649</v>
      </c>
    </row>
    <row r="233" spans="4:6" x14ac:dyDescent="0.25">
      <c r="D233" s="67">
        <v>191</v>
      </c>
      <c r="E233" s="65">
        <v>-2767259.763841629</v>
      </c>
      <c r="F233" s="65">
        <v>-4107940.6746225357</v>
      </c>
    </row>
    <row r="234" spans="4:6" x14ac:dyDescent="0.25">
      <c r="D234" s="67">
        <v>192</v>
      </c>
      <c r="E234" s="65">
        <v>-17322908.209852219</v>
      </c>
      <c r="F234" s="65">
        <v>-18663589.120633125</v>
      </c>
    </row>
    <row r="235" spans="4:6" x14ac:dyDescent="0.25">
      <c r="D235" s="67">
        <v>193</v>
      </c>
      <c r="E235" s="65">
        <v>5782159.2516708374</v>
      </c>
      <c r="F235" s="65">
        <v>4441478.3408899307</v>
      </c>
    </row>
    <row r="236" spans="4:6" x14ac:dyDescent="0.25">
      <c r="D236" s="67">
        <v>194</v>
      </c>
      <c r="E236" s="65">
        <v>9540522.7234210968</v>
      </c>
      <c r="F236" s="65">
        <v>8199841.8126401901</v>
      </c>
    </row>
    <row r="237" spans="4:6" x14ac:dyDescent="0.25">
      <c r="D237" s="67">
        <v>195</v>
      </c>
      <c r="E237" s="65">
        <v>-8822308.7049293518</v>
      </c>
      <c r="F237" s="65">
        <v>-10162989.615710258</v>
      </c>
    </row>
    <row r="238" spans="4:6" x14ac:dyDescent="0.25">
      <c r="D238" s="67">
        <v>196</v>
      </c>
      <c r="E238" s="65">
        <v>-17600165.71234417</v>
      </c>
      <c r="F238" s="65">
        <v>-18940846.623125076</v>
      </c>
    </row>
    <row r="239" spans="4:6" x14ac:dyDescent="0.25">
      <c r="D239" s="67">
        <v>197</v>
      </c>
      <c r="E239" s="65">
        <v>5602606.0597190857</v>
      </c>
      <c r="F239" s="65">
        <v>4261925.148938179</v>
      </c>
    </row>
    <row r="240" spans="4:6" x14ac:dyDescent="0.25">
      <c r="D240" s="67">
        <v>198</v>
      </c>
      <c r="E240" s="65">
        <v>27962075.637742043</v>
      </c>
      <c r="F240" s="65">
        <v>26621394.726961136</v>
      </c>
    </row>
    <row r="241" spans="4:6" x14ac:dyDescent="0.25">
      <c r="D241" s="67">
        <v>199</v>
      </c>
      <c r="E241" s="65">
        <v>14893456.04015255</v>
      </c>
      <c r="F241" s="65">
        <v>13552775.129371643</v>
      </c>
    </row>
    <row r="242" spans="4:6" x14ac:dyDescent="0.25">
      <c r="D242" s="67">
        <v>200</v>
      </c>
      <c r="E242" s="65">
        <v>7111268.9245004654</v>
      </c>
      <c r="F242" s="65">
        <v>5770588.0137195587</v>
      </c>
    </row>
    <row r="243" spans="4:6" x14ac:dyDescent="0.25">
      <c r="D243" s="67">
        <v>201</v>
      </c>
      <c r="E243" s="65">
        <v>5782177.1649599075</v>
      </c>
      <c r="F243" s="65">
        <v>4441496.2541790009</v>
      </c>
    </row>
    <row r="244" spans="4:6" x14ac:dyDescent="0.25">
      <c r="D244" s="67">
        <v>202</v>
      </c>
      <c r="E244" s="65">
        <v>6965036.5502557755</v>
      </c>
      <c r="F244" s="65">
        <v>5624355.6394748688</v>
      </c>
    </row>
    <row r="245" spans="4:6" x14ac:dyDescent="0.25">
      <c r="D245" s="67">
        <v>203</v>
      </c>
      <c r="E245" s="65">
        <v>-179784.63242149353</v>
      </c>
      <c r="F245" s="65">
        <v>-1520465.5432024002</v>
      </c>
    </row>
    <row r="246" spans="4:6" x14ac:dyDescent="0.25">
      <c r="D246" s="67">
        <v>204</v>
      </c>
      <c r="E246" s="65">
        <v>2067300.9127473831</v>
      </c>
      <c r="F246" s="65">
        <v>726620.00196647644</v>
      </c>
    </row>
    <row r="247" spans="4:6" x14ac:dyDescent="0.25">
      <c r="D247" s="67">
        <v>205</v>
      </c>
      <c r="E247" s="65">
        <v>8890182.3580436707</v>
      </c>
      <c r="F247" s="65">
        <v>7549501.447262764</v>
      </c>
    </row>
    <row r="248" spans="4:6" x14ac:dyDescent="0.25">
      <c r="D248" s="67">
        <v>206</v>
      </c>
      <c r="E248" s="65">
        <v>2832715.8117580414</v>
      </c>
      <c r="F248" s="65">
        <v>1492034.9009771347</v>
      </c>
    </row>
    <row r="249" spans="4:6" x14ac:dyDescent="0.25">
      <c r="D249" s="67">
        <v>207</v>
      </c>
      <c r="E249" s="65">
        <v>1656435.9431505203</v>
      </c>
      <c r="F249" s="65">
        <v>315755.03236961365</v>
      </c>
    </row>
    <row r="250" spans="4:6" x14ac:dyDescent="0.25">
      <c r="D250" s="67">
        <v>208</v>
      </c>
      <c r="E250" s="65">
        <v>-24364.403216362</v>
      </c>
      <c r="F250" s="65">
        <v>-1365045.3139972687</v>
      </c>
    </row>
    <row r="251" spans="4:6" x14ac:dyDescent="0.25">
      <c r="D251" s="67">
        <v>209</v>
      </c>
      <c r="E251" s="65">
        <v>-6003400.6332883835</v>
      </c>
      <c r="F251" s="65">
        <v>-7344081.5440692902</v>
      </c>
    </row>
    <row r="252" spans="4:6" x14ac:dyDescent="0.25">
      <c r="D252" s="67">
        <v>210</v>
      </c>
      <c r="E252" s="65">
        <v>-1103169.8908309937</v>
      </c>
      <c r="F252" s="65">
        <v>-2443850.8016119003</v>
      </c>
    </row>
    <row r="253" spans="4:6" x14ac:dyDescent="0.25">
      <c r="D253" s="67">
        <v>211</v>
      </c>
      <c r="E253" s="65">
        <v>-1443522.2850341797</v>
      </c>
      <c r="F253" s="65">
        <v>-2784203.1958150864</v>
      </c>
    </row>
    <row r="254" spans="4:6" x14ac:dyDescent="0.25">
      <c r="D254" s="67">
        <v>212</v>
      </c>
      <c r="E254" s="65">
        <v>260034.66574859619</v>
      </c>
      <c r="F254" s="65">
        <v>-1080646.2450323105</v>
      </c>
    </row>
    <row r="255" spans="4:6" x14ac:dyDescent="0.25">
      <c r="D255" s="67">
        <v>213</v>
      </c>
      <c r="E255" s="65">
        <v>-945497.91936397552</v>
      </c>
      <c r="F255" s="65">
        <v>-2286178.8301448822</v>
      </c>
    </row>
    <row r="256" spans="4:6" x14ac:dyDescent="0.25">
      <c r="D256" s="67">
        <v>214</v>
      </c>
      <c r="E256" s="65">
        <v>-512541.95569801331</v>
      </c>
      <c r="F256" s="65">
        <v>-1853222.86647892</v>
      </c>
    </row>
    <row r="257" spans="4:6" x14ac:dyDescent="0.25">
      <c r="D257" s="67">
        <v>215</v>
      </c>
      <c r="E257" s="65">
        <v>1480173.7440252304</v>
      </c>
      <c r="F257" s="65">
        <v>139492.83324432373</v>
      </c>
    </row>
    <row r="258" spans="4:6" x14ac:dyDescent="0.25">
      <c r="D258" s="67">
        <v>216</v>
      </c>
      <c r="E258" s="65">
        <v>-161371.19155693054</v>
      </c>
      <c r="F258" s="65">
        <v>-1502052.1023378372</v>
      </c>
    </row>
    <row r="259" spans="4:6" x14ac:dyDescent="0.25">
      <c r="D259" s="67">
        <v>217</v>
      </c>
      <c r="E259" s="65">
        <v>290232.15454387665</v>
      </c>
      <c r="F259" s="65">
        <v>-1050448.75623703</v>
      </c>
    </row>
    <row r="260" spans="4:6" x14ac:dyDescent="0.25">
      <c r="D260" s="67">
        <v>218</v>
      </c>
      <c r="E260" s="65">
        <v>-2077261.8429403305</v>
      </c>
      <c r="F260" s="65">
        <v>-3417942.7537212372</v>
      </c>
    </row>
    <row r="261" spans="4:6" x14ac:dyDescent="0.25">
      <c r="D261" s="67">
        <v>219</v>
      </c>
      <c r="E261" s="65">
        <v>3131912.9076080322</v>
      </c>
      <c r="F261" s="65">
        <v>1791231.9968271255</v>
      </c>
    </row>
    <row r="262" spans="4:6" x14ac:dyDescent="0.25">
      <c r="D262" s="67">
        <v>220</v>
      </c>
      <c r="E262" s="65">
        <v>5074834.1423387527</v>
      </c>
      <c r="F262" s="65">
        <v>3734153.2315578461</v>
      </c>
    </row>
    <row r="263" spans="4:6" x14ac:dyDescent="0.25">
      <c r="D263" s="67">
        <v>221</v>
      </c>
      <c r="E263" s="65">
        <v>-925643.97784900665</v>
      </c>
      <c r="F263" s="65">
        <v>-2266324.8886299133</v>
      </c>
    </row>
    <row r="264" spans="4:6" x14ac:dyDescent="0.25">
      <c r="D264" s="67">
        <v>222</v>
      </c>
      <c r="E264" s="65">
        <v>2463574.3147706985</v>
      </c>
      <c r="F264" s="65">
        <v>1122893.4039897919</v>
      </c>
    </row>
    <row r="265" spans="4:6" x14ac:dyDescent="0.25">
      <c r="D265" s="67">
        <v>223</v>
      </c>
      <c r="E265" s="65">
        <v>3679132.5650272369</v>
      </c>
      <c r="F265" s="65">
        <v>2338451.6542463303</v>
      </c>
    </row>
    <row r="266" spans="4:6" x14ac:dyDescent="0.25">
      <c r="D266" s="67">
        <v>224</v>
      </c>
      <c r="E266" s="65">
        <v>2299869.783703804</v>
      </c>
      <c r="F266" s="65">
        <v>959188.87292289734</v>
      </c>
    </row>
    <row r="267" spans="4:6" x14ac:dyDescent="0.25">
      <c r="D267" s="67">
        <v>225</v>
      </c>
      <c r="E267" s="65">
        <v>-6874012.2822399139</v>
      </c>
      <c r="F267" s="65">
        <v>-8214693.1930208206</v>
      </c>
    </row>
    <row r="268" spans="4:6" x14ac:dyDescent="0.25">
      <c r="D268" s="67">
        <v>226</v>
      </c>
      <c r="E268" s="65">
        <v>-3193923.5444326401</v>
      </c>
      <c r="F268" s="65">
        <v>-4534604.4552135468</v>
      </c>
    </row>
    <row r="269" spans="4:6" x14ac:dyDescent="0.25">
      <c r="D269" s="67">
        <v>227</v>
      </c>
      <c r="E269" s="65">
        <v>-50706.182730674744</v>
      </c>
      <c r="F269" s="65">
        <v>-1391387.0935115814</v>
      </c>
    </row>
    <row r="270" spans="4:6" x14ac:dyDescent="0.25">
      <c r="D270" s="67">
        <v>228</v>
      </c>
      <c r="E270" s="65">
        <v>-83794.423407554626</v>
      </c>
      <c r="F270" s="65">
        <v>-1424475.3341884613</v>
      </c>
    </row>
    <row r="271" spans="4:6" x14ac:dyDescent="0.25">
      <c r="D271" s="67">
        <v>229</v>
      </c>
      <c r="E271" s="65">
        <v>-252354.5902929306</v>
      </c>
      <c r="F271" s="65">
        <v>-1593035.5010738373</v>
      </c>
    </row>
    <row r="272" spans="4:6" x14ac:dyDescent="0.25">
      <c r="D272" s="67">
        <v>230</v>
      </c>
      <c r="E272" s="65">
        <v>749143.33125114441</v>
      </c>
      <c r="F272" s="65">
        <v>-591537.57952976227</v>
      </c>
    </row>
    <row r="273" spans="4:6" x14ac:dyDescent="0.25">
      <c r="D273" s="67">
        <v>231</v>
      </c>
      <c r="E273" s="65">
        <v>1027455.3950691223</v>
      </c>
      <c r="F273" s="65">
        <v>-313225.51571178436</v>
      </c>
    </row>
    <row r="274" spans="4:6" x14ac:dyDescent="0.25">
      <c r="D274" s="67">
        <v>232</v>
      </c>
      <c r="E274" s="65">
        <v>-942053.2471075058</v>
      </c>
      <c r="F274" s="65">
        <v>-2282734.1578884125</v>
      </c>
    </row>
    <row r="275" spans="4:6" x14ac:dyDescent="0.25">
      <c r="D275" s="67">
        <v>233</v>
      </c>
      <c r="E275" s="65">
        <v>-4871658.7506017685</v>
      </c>
      <c r="F275" s="65">
        <v>-6212339.6613826752</v>
      </c>
    </row>
    <row r="276" spans="4:6" x14ac:dyDescent="0.25">
      <c r="D276" s="67">
        <v>234</v>
      </c>
      <c r="E276" s="65">
        <v>7294397.8996515274</v>
      </c>
      <c r="F276" s="65">
        <v>5953716.9888706207</v>
      </c>
    </row>
    <row r="277" spans="4:6" x14ac:dyDescent="0.25">
      <c r="D277" s="67">
        <v>235</v>
      </c>
      <c r="E277" s="65">
        <v>556669.6914024353</v>
      </c>
      <c r="F277" s="65">
        <v>-784011.21937847137</v>
      </c>
    </row>
    <row r="278" spans="4:6" x14ac:dyDescent="0.25">
      <c r="D278" s="67">
        <v>236</v>
      </c>
      <c r="E278" s="65">
        <v>4913741.5371217728</v>
      </c>
      <c r="F278" s="65">
        <v>3573060.6263408661</v>
      </c>
    </row>
    <row r="279" spans="4:6" x14ac:dyDescent="0.25">
      <c r="D279" s="67">
        <v>237</v>
      </c>
      <c r="E279" s="65">
        <v>268134.34667015076</v>
      </c>
      <c r="F279" s="65">
        <v>-1072546.5641107559</v>
      </c>
    </row>
    <row r="280" spans="4:6" x14ac:dyDescent="0.25">
      <c r="D280" s="67">
        <v>238</v>
      </c>
      <c r="E280" s="65">
        <v>-4166866.7281217575</v>
      </c>
      <c r="F280" s="65">
        <v>-5507547.6389026642</v>
      </c>
    </row>
    <row r="281" spans="4:6" x14ac:dyDescent="0.25">
      <c r="D281" s="67">
        <v>239</v>
      </c>
      <c r="E281" s="65">
        <v>2286519.8828010559</v>
      </c>
      <c r="F281" s="65">
        <v>945838.97202014923</v>
      </c>
    </row>
    <row r="282" spans="4:6" x14ac:dyDescent="0.25">
      <c r="D282" s="67">
        <v>240</v>
      </c>
      <c r="E282" s="65">
        <v>-2321530.6191501617</v>
      </c>
      <c r="F282" s="65">
        <v>-3662211.5299310684</v>
      </c>
    </row>
    <row r="283" spans="4:6" x14ac:dyDescent="0.25">
      <c r="D283" s="67">
        <v>241</v>
      </c>
      <c r="E283" s="65">
        <v>-4707512.6983671188</v>
      </c>
      <c r="F283" s="65">
        <v>-6048193.6091480255</v>
      </c>
    </row>
    <row r="284" spans="4:6" x14ac:dyDescent="0.25">
      <c r="D284" s="67">
        <v>242</v>
      </c>
      <c r="E284" s="65">
        <v>6875988.0745353699</v>
      </c>
      <c r="F284" s="65">
        <v>5535307.1637544632</v>
      </c>
    </row>
    <row r="285" spans="4:6" x14ac:dyDescent="0.25">
      <c r="D285" s="67">
        <v>243</v>
      </c>
      <c r="E285" s="65">
        <v>833763.72304534912</v>
      </c>
      <c r="F285" s="65">
        <v>-506917.18773555756</v>
      </c>
    </row>
    <row r="286" spans="4:6" x14ac:dyDescent="0.25">
      <c r="D286" s="67">
        <v>244</v>
      </c>
      <c r="E286" s="65">
        <v>-4904601.3635759354</v>
      </c>
      <c r="F286" s="65">
        <v>-6245282.274356842</v>
      </c>
    </row>
    <row r="287" spans="4:6" x14ac:dyDescent="0.25">
      <c r="D287" s="67">
        <v>245</v>
      </c>
      <c r="E287" s="65">
        <v>-2081217.8880653381</v>
      </c>
      <c r="F287" s="65">
        <v>-3421898.7988462448</v>
      </c>
    </row>
    <row r="288" spans="4:6" x14ac:dyDescent="0.25">
      <c r="D288" s="67">
        <v>246</v>
      </c>
      <c r="E288" s="65">
        <v>2030680.7922449112</v>
      </c>
      <c r="F288" s="65">
        <v>689999.88146400452</v>
      </c>
    </row>
    <row r="289" spans="4:6" x14ac:dyDescent="0.25">
      <c r="D289" s="67">
        <v>247</v>
      </c>
      <c r="E289" s="65">
        <v>-8835506.5058765411</v>
      </c>
      <c r="F289" s="65">
        <v>-10176187.416657448</v>
      </c>
    </row>
    <row r="290" spans="4:6" x14ac:dyDescent="0.25">
      <c r="D290" s="67">
        <v>248</v>
      </c>
      <c r="E290" s="65">
        <v>1307621.2553062439</v>
      </c>
      <c r="F290" s="65">
        <v>-33059.655474662781</v>
      </c>
    </row>
    <row r="291" spans="4:6" x14ac:dyDescent="0.25">
      <c r="D291" s="67">
        <v>249</v>
      </c>
      <c r="E291" s="65">
        <v>9060217.2001419067</v>
      </c>
      <c r="F291" s="65">
        <v>7719536.2893610001</v>
      </c>
    </row>
    <row r="292" spans="4:6" x14ac:dyDescent="0.25">
      <c r="D292" s="67">
        <v>250</v>
      </c>
      <c r="E292" s="65">
        <v>-5958725.2159605026</v>
      </c>
      <c r="F292" s="65">
        <v>-7299406.1267414093</v>
      </c>
    </row>
    <row r="293" spans="4:6" x14ac:dyDescent="0.25">
      <c r="D293" s="67">
        <v>251</v>
      </c>
      <c r="E293" s="65">
        <v>-809440.86796474457</v>
      </c>
      <c r="F293" s="65">
        <v>-2150121.7787456512</v>
      </c>
    </row>
    <row r="294" spans="4:6" x14ac:dyDescent="0.25">
      <c r="D294" s="67">
        <v>252</v>
      </c>
      <c r="E294" s="65">
        <v>-5152130.7687482834</v>
      </c>
      <c r="F294" s="65">
        <v>-6492811.6795291901</v>
      </c>
    </row>
    <row r="295" spans="4:6" x14ac:dyDescent="0.25">
      <c r="D295" s="67">
        <v>253</v>
      </c>
      <c r="E295" s="65">
        <v>-4013461.6773386002</v>
      </c>
      <c r="F295" s="65">
        <v>-5354142.5881195068</v>
      </c>
    </row>
    <row r="296" spans="4:6" x14ac:dyDescent="0.25">
      <c r="D296" s="67">
        <v>254</v>
      </c>
      <c r="E296" s="65">
        <v>9075967.0848312378</v>
      </c>
      <c r="F296" s="65">
        <v>7735286.1740503311</v>
      </c>
    </row>
    <row r="297" spans="4:6" x14ac:dyDescent="0.25">
      <c r="D297" s="67">
        <v>255</v>
      </c>
      <c r="E297" s="65">
        <v>2387777.3916625977</v>
      </c>
      <c r="F297" s="65">
        <v>1047096.480881691</v>
      </c>
    </row>
    <row r="298" spans="4:6" x14ac:dyDescent="0.25">
      <c r="D298" s="67">
        <v>256</v>
      </c>
      <c r="E298" s="65">
        <v>-5440322.470495224</v>
      </c>
      <c r="F298" s="65">
        <v>-6781003.3812761307</v>
      </c>
    </row>
    <row r="299" spans="4:6" x14ac:dyDescent="0.25">
      <c r="D299" s="67">
        <v>257</v>
      </c>
      <c r="E299" s="65">
        <v>-321952.75878047943</v>
      </c>
      <c r="F299" s="65">
        <v>-1662633.6695613861</v>
      </c>
    </row>
    <row r="300" spans="4:6" x14ac:dyDescent="0.25">
      <c r="D300" s="67">
        <v>258</v>
      </c>
      <c r="E300" s="65">
        <v>15444393.025474548</v>
      </c>
      <c r="F300" s="65">
        <v>14103712.114693642</v>
      </c>
    </row>
    <row r="301" spans="4:6" x14ac:dyDescent="0.25">
      <c r="D301" s="67">
        <v>259</v>
      </c>
      <c r="E301" s="65">
        <v>179656.19292926788</v>
      </c>
      <c r="F301" s="65">
        <v>-1161024.7178516388</v>
      </c>
    </row>
    <row r="302" spans="4:6" x14ac:dyDescent="0.25">
      <c r="D302" s="67">
        <v>260</v>
      </c>
      <c r="E302" s="65">
        <v>6886731.850271225</v>
      </c>
      <c r="F302" s="65">
        <v>5546050.9394903183</v>
      </c>
    </row>
    <row r="303" spans="4:6" x14ac:dyDescent="0.25">
      <c r="D303" s="55"/>
      <c r="E303" s="66"/>
      <c r="F303" s="66"/>
    </row>
    <row r="304" spans="4:6" x14ac:dyDescent="0.25">
      <c r="E304" s="42"/>
      <c r="F304" s="42"/>
    </row>
    <row r="305" spans="5:6" x14ac:dyDescent="0.25">
      <c r="E305" s="42"/>
      <c r="F305" s="42"/>
    </row>
  </sheetData>
  <mergeCells count="2">
    <mergeCell ref="U3:X3"/>
    <mergeCell ref="B9:B21"/>
  </mergeCells>
  <phoneticPr fontId="7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HVaR.HVaR">
                <anchor moveWithCells="1" sizeWithCells="1">
                  <from>
                    <xdr:col>0</xdr:col>
                    <xdr:colOff>609600</xdr:colOff>
                    <xdr:row>0</xdr:row>
                    <xdr:rowOff>30480</xdr:rowOff>
                  </from>
                  <to>
                    <xdr:col>2</xdr:col>
                    <xdr:colOff>411480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CF &amp; PVs</vt:lpstr>
      <vt:lpstr>MarketData</vt:lpstr>
      <vt:lpstr>Simulation developed by Pankaj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rishur</dc:creator>
  <cp:lastModifiedBy>lenovo</cp:lastModifiedBy>
  <dcterms:created xsi:type="dcterms:W3CDTF">2009-03-21T06:17:33Z</dcterms:created>
  <dcterms:modified xsi:type="dcterms:W3CDTF">2019-01-11T09:28:55Z</dcterms:modified>
</cp:coreProperties>
</file>